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brutos" sheetId="1" r:id="rId5"/>
    <sheet state="visible" name="analise" sheetId="2" r:id="rId6"/>
    <sheet state="visible" name="top_bottom" sheetId="3" r:id="rId7"/>
  </sheets>
  <definedNames/>
  <calcPr/>
</workbook>
</file>

<file path=xl/sharedStrings.xml><?xml version="1.0" encoding="utf-8"?>
<sst xmlns="http://schemas.openxmlformats.org/spreadsheetml/2006/main" count="209" uniqueCount="180">
  <si>
    <t>Quantidade de países</t>
  </si>
  <si>
    <t>Mínimo</t>
  </si>
  <si>
    <t>Felicidade x PIB:</t>
  </si>
  <si>
    <t>Quantidade de variáveis</t>
  </si>
  <si>
    <t>Máximo</t>
  </si>
  <si>
    <t>Felicidade x apoio social:</t>
  </si>
  <si>
    <t>Valores ausentes</t>
  </si>
  <si>
    <t>Zeros</t>
  </si>
  <si>
    <t>Felicidade x expectativa de vida:</t>
  </si>
  <si>
    <t>Países únicos</t>
  </si>
  <si>
    <t>Média</t>
  </si>
  <si>
    <t>Felicidade x liberdade</t>
  </si>
  <si>
    <t>Mediana</t>
  </si>
  <si>
    <t>top10</t>
  </si>
  <si>
    <t>Overall rank</t>
  </si>
  <si>
    <t>Country or region</t>
  </si>
  <si>
    <t>Score</t>
  </si>
  <si>
    <t>GDP per capita</t>
  </si>
  <si>
    <t>Social support</t>
  </si>
  <si>
    <t>Healthy life expectancy</t>
  </si>
  <si>
    <t>Freedom to make life choices</t>
  </si>
  <si>
    <t>Generosity</t>
  </si>
  <si>
    <t>Perceptions of corruption</t>
  </si>
  <si>
    <t>Finland</t>
  </si>
  <si>
    <t>Denmark</t>
  </si>
  <si>
    <t>Norway</t>
  </si>
  <si>
    <t>Iceland</t>
  </si>
  <si>
    <t>Netherlands</t>
  </si>
  <si>
    <t>Switzerland</t>
  </si>
  <si>
    <t>Sweden</t>
  </si>
  <si>
    <t>New Zealand</t>
  </si>
  <si>
    <t>Canada</t>
  </si>
  <si>
    <t>Austria</t>
  </si>
  <si>
    <t>bottom10</t>
  </si>
  <si>
    <t>Haiti</t>
  </si>
  <si>
    <t>Botswana</t>
  </si>
  <si>
    <t>Syria</t>
  </si>
  <si>
    <t>Malawi</t>
  </si>
  <si>
    <t>Yemen</t>
  </si>
  <si>
    <t>Rwanda</t>
  </si>
  <si>
    <t>Tanzania</t>
  </si>
  <si>
    <t>Afghanistan</t>
  </si>
  <si>
    <t>Central African Republic</t>
  </si>
  <si>
    <t>South Sudan</t>
  </si>
  <si>
    <t>Australia</t>
  </si>
  <si>
    <t>Costa Rica</t>
  </si>
  <si>
    <t>Israel</t>
  </si>
  <si>
    <t>Luxembourg</t>
  </si>
  <si>
    <t>United Kingdom</t>
  </si>
  <si>
    <t>Ireland</t>
  </si>
  <si>
    <t>Germany</t>
  </si>
  <si>
    <t>Belgium</t>
  </si>
  <si>
    <t>United States</t>
  </si>
  <si>
    <t>Czech Republic</t>
  </si>
  <si>
    <t>United Arab Emirates</t>
  </si>
  <si>
    <t>Malta</t>
  </si>
  <si>
    <t>Mexico</t>
  </si>
  <si>
    <t>France</t>
  </si>
  <si>
    <t>Taiwan</t>
  </si>
  <si>
    <t>Chile</t>
  </si>
  <si>
    <t>Guatemala</t>
  </si>
  <si>
    <t>Saudi Arabia</t>
  </si>
  <si>
    <t>Qatar</t>
  </si>
  <si>
    <t>Spain</t>
  </si>
  <si>
    <t>Panama</t>
  </si>
  <si>
    <t>Brazil</t>
  </si>
  <si>
    <t>Uruguay</t>
  </si>
  <si>
    <t>Singapore</t>
  </si>
  <si>
    <t>El Salvador</t>
  </si>
  <si>
    <t>Italy</t>
  </si>
  <si>
    <t>Bahrain</t>
  </si>
  <si>
    <t>Slovakia</t>
  </si>
  <si>
    <t>Trinidad &amp; Tobago</t>
  </si>
  <si>
    <t>Poland</t>
  </si>
  <si>
    <t>Uzbekistan</t>
  </si>
  <si>
    <t>Lithuania</t>
  </si>
  <si>
    <t>Colombia</t>
  </si>
  <si>
    <t>Slovenia</t>
  </si>
  <si>
    <t>Nicaragua</t>
  </si>
  <si>
    <t>Kosovo</t>
  </si>
  <si>
    <t>Argentina</t>
  </si>
  <si>
    <t>Romania</t>
  </si>
  <si>
    <t>Cyprus</t>
  </si>
  <si>
    <t>Ecuador</t>
  </si>
  <si>
    <t>Kuwait</t>
  </si>
  <si>
    <t>Thailand</t>
  </si>
  <si>
    <t>Latvia</t>
  </si>
  <si>
    <t>South Korea</t>
  </si>
  <si>
    <t>Estonia</t>
  </si>
  <si>
    <t>Jamaica</t>
  </si>
  <si>
    <t>Mauritius</t>
  </si>
  <si>
    <t>Japan</t>
  </si>
  <si>
    <t>Honduras</t>
  </si>
  <si>
    <t>Kazakhstan</t>
  </si>
  <si>
    <t>Bolivia</t>
  </si>
  <si>
    <t>Hungary</t>
  </si>
  <si>
    <t>Paraguay</t>
  </si>
  <si>
    <t>Northern Cyprus</t>
  </si>
  <si>
    <t>Peru</t>
  </si>
  <si>
    <t>Portugal</t>
  </si>
  <si>
    <t>Pakistan</t>
  </si>
  <si>
    <t>Russia</t>
  </si>
  <si>
    <t>Philippines</t>
  </si>
  <si>
    <t>Serbia</t>
  </si>
  <si>
    <t>Moldova</t>
  </si>
  <si>
    <t>Libya</t>
  </si>
  <si>
    <t>Montenegro</t>
  </si>
  <si>
    <t>Tajikistan</t>
  </si>
  <si>
    <t>Croatia</t>
  </si>
  <si>
    <t>Hong Kong</t>
  </si>
  <si>
    <t>Dominican Republic</t>
  </si>
  <si>
    <t>Bosnia and Herzegovina</t>
  </si>
  <si>
    <t>Turkey</t>
  </si>
  <si>
    <t>Malaysia</t>
  </si>
  <si>
    <t>Belarus</t>
  </si>
  <si>
    <t>Greece</t>
  </si>
  <si>
    <t>Mongolia</t>
  </si>
  <si>
    <t>North Macedonia</t>
  </si>
  <si>
    <t>Nigeria</t>
  </si>
  <si>
    <t>Kyrgyzstan</t>
  </si>
  <si>
    <t>Turkmenistan</t>
  </si>
  <si>
    <t>Algeria</t>
  </si>
  <si>
    <t>Morocco</t>
  </si>
  <si>
    <t>Azerbaijan</t>
  </si>
  <si>
    <t>Lebanon</t>
  </si>
  <si>
    <t>Indonesia</t>
  </si>
  <si>
    <t>China</t>
  </si>
  <si>
    <t>Vietnam</t>
  </si>
  <si>
    <t>Bhutan</t>
  </si>
  <si>
    <t>Cameroon</t>
  </si>
  <si>
    <t>Bulgaria</t>
  </si>
  <si>
    <t>Ghana</t>
  </si>
  <si>
    <t>Ivory Coast</t>
  </si>
  <si>
    <t>Nepal</t>
  </si>
  <si>
    <t>Jordan</t>
  </si>
  <si>
    <t>Benin</t>
  </si>
  <si>
    <t>Congo (Brazzaville)</t>
  </si>
  <si>
    <t>Gabon</t>
  </si>
  <si>
    <t>Laos</t>
  </si>
  <si>
    <t>South Africa</t>
  </si>
  <si>
    <t>Albania</t>
  </si>
  <si>
    <t>Venezuela</t>
  </si>
  <si>
    <t>Cambodia</t>
  </si>
  <si>
    <t>Palestinian Territories</t>
  </si>
  <si>
    <t>Senegal</t>
  </si>
  <si>
    <t>Somalia</t>
  </si>
  <si>
    <t>Namibia</t>
  </si>
  <si>
    <t>Niger</t>
  </si>
  <si>
    <t>Burkina Faso</t>
  </si>
  <si>
    <t>Armenia</t>
  </si>
  <si>
    <t>Iran</t>
  </si>
  <si>
    <t>Guinea</t>
  </si>
  <si>
    <t>Georgia</t>
  </si>
  <si>
    <t>Gambia</t>
  </si>
  <si>
    <t>Kenya</t>
  </si>
  <si>
    <t>Mauritania</t>
  </si>
  <si>
    <t>Mozambique</t>
  </si>
  <si>
    <t>Tunisia</t>
  </si>
  <si>
    <t>Bangladesh</t>
  </si>
  <si>
    <t>Iraq</t>
  </si>
  <si>
    <t>Congo (Kinshasa)</t>
  </si>
  <si>
    <t>Mali</t>
  </si>
  <si>
    <t>Sierra Leone</t>
  </si>
  <si>
    <t>Sri Lanka</t>
  </si>
  <si>
    <t>Myanmar</t>
  </si>
  <si>
    <t>Chad</t>
  </si>
  <si>
    <t>Ukraine</t>
  </si>
  <si>
    <t>Ethiopia</t>
  </si>
  <si>
    <t>Swaziland</t>
  </si>
  <si>
    <t>Uganda</t>
  </si>
  <si>
    <t>Egypt</t>
  </si>
  <si>
    <t>Zambia</t>
  </si>
  <si>
    <t>Togo</t>
  </si>
  <si>
    <t>India</t>
  </si>
  <si>
    <t>Liberia</t>
  </si>
  <si>
    <t>Comoros</t>
  </si>
  <si>
    <t>Madagascar</t>
  </si>
  <si>
    <t>Lesotho</t>
  </si>
  <si>
    <t>Burundi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</si>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</sst>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Relação entre PIB per capita e felicidade (2019)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dados_brutos!$C$1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dados_brutos!$D$2:$D$1000</c:f>
            </c:numRef>
          </c:xVal>
          <c:yVal>
            <c:numRef>
              <c:f>dados_brutos!$C$2:$C$1000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5720891"/>
        <c:axId val="1251120037"/>
      </c:scatterChart>
      <c:valAx>
        <c:axId val="89572089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	PIB per capita (contribuição para a pontuação)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1120037"/>
      </c:valAx>
      <c:valAx>
        <c:axId val="12511200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Pontuação de felicidade (0 a 10)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57208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Relação entre expectativa de vida saudável e felicidade (2019)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dados_brutos!$C$1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dados_brutos!$F$2:$F$1000</c:f>
            </c:numRef>
          </c:xVal>
          <c:yVal>
            <c:numRef>
              <c:f>dados_brutos!$C$2:$C$1000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951499"/>
        <c:axId val="644284538"/>
      </c:scatterChart>
      <c:valAx>
        <c:axId val="83995149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Expectativa de vida saudável (contribuição para a pontuação)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4284538"/>
      </c:valAx>
      <c:valAx>
        <c:axId val="6442845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Pontuação de felicidade (0 a 10)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99514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Os 10 países mais felizes em 2019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top_bottom!$C$1:$C$2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top_bottom!$B$3:$B$12</c:f>
            </c:strRef>
          </c:cat>
          <c:val>
            <c:numRef>
              <c:f>top_bottom!$C$3:$C$12</c:f>
              <c:numCache/>
            </c:numRef>
          </c:val>
        </c:ser>
        <c:axId val="1533135196"/>
        <c:axId val="1505146365"/>
      </c:barChart>
      <c:catAx>
        <c:axId val="1533135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País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5146365"/>
      </c:catAx>
      <c:valAx>
        <c:axId val="15051463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Pontuação de felicidade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31351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Os 10 países menos felizes em 2019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top_bottom!$B$14:$B$23</c:f>
            </c:strRef>
          </c:cat>
          <c:val>
            <c:numRef>
              <c:f>top_bottom!$C$14:$C$23</c:f>
              <c:numCache/>
            </c:numRef>
          </c:val>
        </c:ser>
        <c:axId val="1765590001"/>
        <c:axId val="1344007454"/>
      </c:barChart>
      <c:catAx>
        <c:axId val="17655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País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4007454"/>
      </c:catAx>
      <c:valAx>
        <c:axId val="13440074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Pontuação de felicidade (0 a 10)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55900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</xdr:colOff>
      <xdr:row>0</xdr:row>
      <xdr:rowOff>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923925</xdr:colOff>
      <xdr:row>0</xdr:row>
      <xdr:rowOff>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904875</xdr:colOff>
      <xdr:row>0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9.63"/>
  </cols>
  <sheetData>
    <row r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>
      <c r="A2" s="1">
        <v>1.0</v>
      </c>
      <c r="B2" s="1" t="s">
        <v>23</v>
      </c>
      <c r="C2" s="1">
        <v>7.769</v>
      </c>
      <c r="D2" s="1">
        <v>1.34</v>
      </c>
      <c r="E2" s="1">
        <v>1.587</v>
      </c>
      <c r="F2" s="1">
        <v>0.986</v>
      </c>
      <c r="G2" s="1">
        <v>0.596</v>
      </c>
      <c r="H2" s="1">
        <v>0.153</v>
      </c>
      <c r="I2" s="1">
        <v>0.393</v>
      </c>
    </row>
    <row r="3">
      <c r="A3" s="1">
        <v>2.0</v>
      </c>
      <c r="B3" s="1" t="s">
        <v>24</v>
      </c>
      <c r="C3" s="1">
        <v>7.6</v>
      </c>
      <c r="D3" s="1">
        <v>1.383</v>
      </c>
      <c r="E3" s="1">
        <v>1.573</v>
      </c>
      <c r="F3" s="1">
        <v>0.996</v>
      </c>
      <c r="G3" s="1">
        <v>0.592</v>
      </c>
      <c r="H3" s="1">
        <v>0.252</v>
      </c>
      <c r="I3" s="1">
        <v>0.41</v>
      </c>
    </row>
    <row r="4">
      <c r="A4" s="1">
        <v>3.0</v>
      </c>
      <c r="B4" s="1" t="s">
        <v>25</v>
      </c>
      <c r="C4" s="1">
        <v>7.554</v>
      </c>
      <c r="D4" s="1">
        <v>1.488</v>
      </c>
      <c r="E4" s="1">
        <v>1.582</v>
      </c>
      <c r="F4" s="1">
        <v>1.028</v>
      </c>
      <c r="G4" s="1">
        <v>0.603</v>
      </c>
      <c r="H4" s="1">
        <v>0.271</v>
      </c>
      <c r="I4" s="1">
        <v>0.341</v>
      </c>
    </row>
    <row r="5">
      <c r="A5" s="1">
        <v>4.0</v>
      </c>
      <c r="B5" s="1" t="s">
        <v>26</v>
      </c>
      <c r="C5" s="1">
        <v>7.494</v>
      </c>
      <c r="D5" s="1">
        <v>1.38</v>
      </c>
      <c r="E5" s="1">
        <v>1.624</v>
      </c>
      <c r="F5" s="1">
        <v>1.026</v>
      </c>
      <c r="G5" s="1">
        <v>0.591</v>
      </c>
      <c r="H5" s="1">
        <v>0.354</v>
      </c>
      <c r="I5" s="1">
        <v>0.118</v>
      </c>
    </row>
    <row r="6">
      <c r="A6" s="1">
        <v>5.0</v>
      </c>
      <c r="B6" s="1" t="s">
        <v>27</v>
      </c>
      <c r="C6" s="1">
        <v>7.488</v>
      </c>
      <c r="D6" s="1">
        <v>1.396</v>
      </c>
      <c r="E6" s="1">
        <v>1.522</v>
      </c>
      <c r="F6" s="1">
        <v>0.999</v>
      </c>
      <c r="G6" s="1">
        <v>0.557</v>
      </c>
      <c r="H6" s="1">
        <v>0.322</v>
      </c>
      <c r="I6" s="1">
        <v>0.298</v>
      </c>
    </row>
    <row r="7">
      <c r="A7" s="1">
        <v>6.0</v>
      </c>
      <c r="B7" s="1" t="s">
        <v>28</v>
      </c>
      <c r="C7" s="1">
        <v>7.48</v>
      </c>
      <c r="D7" s="1">
        <v>1.452</v>
      </c>
      <c r="E7" s="1">
        <v>1.526</v>
      </c>
      <c r="F7" s="1">
        <v>1.052</v>
      </c>
      <c r="G7" s="1">
        <v>0.572</v>
      </c>
      <c r="H7" s="1">
        <v>0.263</v>
      </c>
      <c r="I7" s="1">
        <v>0.343</v>
      </c>
    </row>
    <row r="8">
      <c r="A8" s="1">
        <v>7.0</v>
      </c>
      <c r="B8" s="1" t="s">
        <v>29</v>
      </c>
      <c r="C8" s="1">
        <v>7.343</v>
      </c>
      <c r="D8" s="1">
        <v>1.387</v>
      </c>
      <c r="E8" s="1">
        <v>1.487</v>
      </c>
      <c r="F8" s="1">
        <v>1.009</v>
      </c>
      <c r="G8" s="1">
        <v>0.574</v>
      </c>
      <c r="H8" s="1">
        <v>0.267</v>
      </c>
      <c r="I8" s="1">
        <v>0.373</v>
      </c>
    </row>
    <row r="9">
      <c r="A9" s="1">
        <v>8.0</v>
      </c>
      <c r="B9" s="1" t="s">
        <v>30</v>
      </c>
      <c r="C9" s="1">
        <v>7.307</v>
      </c>
      <c r="D9" s="1">
        <v>1.303</v>
      </c>
      <c r="E9" s="1">
        <v>1.557</v>
      </c>
      <c r="F9" s="1">
        <v>1.026</v>
      </c>
      <c r="G9" s="1">
        <v>0.585</v>
      </c>
      <c r="H9" s="1">
        <v>0.33</v>
      </c>
      <c r="I9" s="1">
        <v>0.38</v>
      </c>
    </row>
    <row r="10">
      <c r="A10" s="1">
        <v>9.0</v>
      </c>
      <c r="B10" s="1" t="s">
        <v>31</v>
      </c>
      <c r="C10" s="1">
        <v>7.278</v>
      </c>
      <c r="D10" s="1">
        <v>1.365</v>
      </c>
      <c r="E10" s="1">
        <v>1.505</v>
      </c>
      <c r="F10" s="1">
        <v>1.039</v>
      </c>
      <c r="G10" s="1">
        <v>0.584</v>
      </c>
      <c r="H10" s="1">
        <v>0.285</v>
      </c>
      <c r="I10" s="1">
        <v>0.308</v>
      </c>
    </row>
    <row r="11">
      <c r="A11" s="1">
        <v>10.0</v>
      </c>
      <c r="B11" s="1" t="s">
        <v>32</v>
      </c>
      <c r="C11" s="1">
        <v>7.246</v>
      </c>
      <c r="D11" s="1">
        <v>1.376</v>
      </c>
      <c r="E11" s="1">
        <v>1.475</v>
      </c>
      <c r="F11" s="1">
        <v>1.016</v>
      </c>
      <c r="G11" s="1">
        <v>0.532</v>
      </c>
      <c r="H11" s="1">
        <v>0.244</v>
      </c>
      <c r="I11" s="1">
        <v>0.226</v>
      </c>
    </row>
    <row r="12">
      <c r="A12" s="1">
        <v>11.0</v>
      </c>
      <c r="B12" s="1" t="s">
        <v>44</v>
      </c>
      <c r="C12" s="1">
        <v>7.228</v>
      </c>
      <c r="D12" s="1">
        <v>1.372</v>
      </c>
      <c r="E12" s="1">
        <v>1.548</v>
      </c>
      <c r="F12" s="1">
        <v>1.036</v>
      </c>
      <c r="G12" s="1">
        <v>0.557</v>
      </c>
      <c r="H12" s="1">
        <v>0.332</v>
      </c>
      <c r="I12" s="1">
        <v>0.29</v>
      </c>
    </row>
    <row r="13">
      <c r="A13" s="1">
        <v>12.0</v>
      </c>
      <c r="B13" s="1" t="s">
        <v>45</v>
      </c>
      <c r="C13" s="1">
        <v>7.167</v>
      </c>
      <c r="D13" s="1">
        <v>1.034</v>
      </c>
      <c r="E13" s="1">
        <v>1.441</v>
      </c>
      <c r="F13" s="1">
        <v>0.963</v>
      </c>
      <c r="G13" s="1">
        <v>0.558</v>
      </c>
      <c r="H13" s="1">
        <v>0.144</v>
      </c>
      <c r="I13" s="1">
        <v>0.093</v>
      </c>
    </row>
    <row r="14">
      <c r="A14" s="1">
        <v>13.0</v>
      </c>
      <c r="B14" s="1" t="s">
        <v>46</v>
      </c>
      <c r="C14" s="1">
        <v>7.139</v>
      </c>
      <c r="D14" s="1">
        <v>1.276</v>
      </c>
      <c r="E14" s="1">
        <v>1.455</v>
      </c>
      <c r="F14" s="1">
        <v>1.029</v>
      </c>
      <c r="G14" s="1">
        <v>0.371</v>
      </c>
      <c r="H14" s="1">
        <v>0.261</v>
      </c>
      <c r="I14" s="1">
        <v>0.082</v>
      </c>
    </row>
    <row r="15">
      <c r="A15" s="1">
        <v>14.0</v>
      </c>
      <c r="B15" s="1" t="s">
        <v>47</v>
      </c>
      <c r="C15" s="1">
        <v>7.09</v>
      </c>
      <c r="D15" s="1">
        <v>1.609</v>
      </c>
      <c r="E15" s="1">
        <v>1.479</v>
      </c>
      <c r="F15" s="1">
        <v>1.012</v>
      </c>
      <c r="G15" s="1">
        <v>0.526</v>
      </c>
      <c r="H15" s="1">
        <v>0.194</v>
      </c>
      <c r="I15" s="1">
        <v>0.316</v>
      </c>
    </row>
    <row r="16">
      <c r="A16" s="1">
        <v>15.0</v>
      </c>
      <c r="B16" s="1" t="s">
        <v>48</v>
      </c>
      <c r="C16" s="1">
        <v>7.054</v>
      </c>
      <c r="D16" s="1">
        <v>1.333</v>
      </c>
      <c r="E16" s="1">
        <v>1.538</v>
      </c>
      <c r="F16" s="1">
        <v>0.996</v>
      </c>
      <c r="G16" s="1">
        <v>0.45</v>
      </c>
      <c r="H16" s="1">
        <v>0.348</v>
      </c>
      <c r="I16" s="1">
        <v>0.278</v>
      </c>
    </row>
    <row r="17">
      <c r="A17" s="1">
        <v>16.0</v>
      </c>
      <c r="B17" s="1" t="s">
        <v>49</v>
      </c>
      <c r="C17" s="1">
        <v>7.021</v>
      </c>
      <c r="D17" s="1">
        <v>1.499</v>
      </c>
      <c r="E17" s="1">
        <v>1.553</v>
      </c>
      <c r="F17" s="1">
        <v>0.999</v>
      </c>
      <c r="G17" s="1">
        <v>0.516</v>
      </c>
      <c r="H17" s="1">
        <v>0.298</v>
      </c>
      <c r="I17" s="1">
        <v>0.31</v>
      </c>
    </row>
    <row r="18">
      <c r="A18" s="1">
        <v>17.0</v>
      </c>
      <c r="B18" s="1" t="s">
        <v>50</v>
      </c>
      <c r="C18" s="1">
        <v>6.985</v>
      </c>
      <c r="D18" s="1">
        <v>1.373</v>
      </c>
      <c r="E18" s="1">
        <v>1.454</v>
      </c>
      <c r="F18" s="1">
        <v>0.987</v>
      </c>
      <c r="G18" s="1">
        <v>0.495</v>
      </c>
      <c r="H18" s="1">
        <v>0.261</v>
      </c>
      <c r="I18" s="1">
        <v>0.265</v>
      </c>
    </row>
    <row r="19">
      <c r="A19" s="1">
        <v>18.0</v>
      </c>
      <c r="B19" s="1" t="s">
        <v>51</v>
      </c>
      <c r="C19" s="1">
        <v>6.923</v>
      </c>
      <c r="D19" s="1">
        <v>1.356</v>
      </c>
      <c r="E19" s="1">
        <v>1.504</v>
      </c>
      <c r="F19" s="1">
        <v>0.986</v>
      </c>
      <c r="G19" s="1">
        <v>0.473</v>
      </c>
      <c r="H19" s="1">
        <v>0.16</v>
      </c>
      <c r="I19" s="1">
        <v>0.21</v>
      </c>
    </row>
    <row r="20">
      <c r="A20" s="1">
        <v>19.0</v>
      </c>
      <c r="B20" s="1" t="s">
        <v>52</v>
      </c>
      <c r="C20" s="1">
        <v>6.892</v>
      </c>
      <c r="D20" s="1">
        <v>1.433</v>
      </c>
      <c r="E20" s="1">
        <v>1.457</v>
      </c>
      <c r="F20" s="1">
        <v>0.874</v>
      </c>
      <c r="G20" s="1">
        <v>0.454</v>
      </c>
      <c r="H20" s="1">
        <v>0.28</v>
      </c>
      <c r="I20" s="1">
        <v>0.128</v>
      </c>
    </row>
    <row r="21">
      <c r="A21" s="1">
        <v>20.0</v>
      </c>
      <c r="B21" s="1" t="s">
        <v>53</v>
      </c>
      <c r="C21" s="1">
        <v>6.852</v>
      </c>
      <c r="D21" s="1">
        <v>1.269</v>
      </c>
      <c r="E21" s="1">
        <v>1.487</v>
      </c>
      <c r="F21" s="1">
        <v>0.92</v>
      </c>
      <c r="G21" s="1">
        <v>0.457</v>
      </c>
      <c r="H21" s="1">
        <v>0.046</v>
      </c>
      <c r="I21" s="1">
        <v>0.036</v>
      </c>
    </row>
    <row r="22">
      <c r="A22" s="1">
        <v>21.0</v>
      </c>
      <c r="B22" s="1" t="s">
        <v>54</v>
      </c>
      <c r="C22" s="1">
        <v>6.825</v>
      </c>
      <c r="D22" s="1">
        <v>1.503</v>
      </c>
      <c r="E22" s="1">
        <v>1.31</v>
      </c>
      <c r="F22" s="1">
        <v>0.825</v>
      </c>
      <c r="G22" s="1">
        <v>0.598</v>
      </c>
      <c r="H22" s="1">
        <v>0.262</v>
      </c>
      <c r="I22" s="1">
        <v>0.182</v>
      </c>
    </row>
    <row r="23">
      <c r="A23" s="1">
        <v>22.0</v>
      </c>
      <c r="B23" s="1" t="s">
        <v>55</v>
      </c>
      <c r="C23" s="1">
        <v>6.726</v>
      </c>
      <c r="D23" s="1">
        <v>1.3</v>
      </c>
      <c r="E23" s="1">
        <v>1.52</v>
      </c>
      <c r="F23" s="1">
        <v>0.999</v>
      </c>
      <c r="G23" s="1">
        <v>0.564</v>
      </c>
      <c r="H23" s="1">
        <v>0.375</v>
      </c>
      <c r="I23" s="1">
        <v>0.151</v>
      </c>
    </row>
    <row r="24">
      <c r="A24" s="1">
        <v>23.0</v>
      </c>
      <c r="B24" s="1" t="s">
        <v>56</v>
      </c>
      <c r="C24" s="1">
        <v>6.595</v>
      </c>
      <c r="D24" s="1">
        <v>1.07</v>
      </c>
      <c r="E24" s="1">
        <v>1.323</v>
      </c>
      <c r="F24" s="1">
        <v>0.861</v>
      </c>
      <c r="G24" s="1">
        <v>0.433</v>
      </c>
      <c r="H24" s="1">
        <v>0.074</v>
      </c>
      <c r="I24" s="1">
        <v>0.073</v>
      </c>
    </row>
    <row r="25">
      <c r="A25" s="1">
        <v>24.0</v>
      </c>
      <c r="B25" s="1" t="s">
        <v>57</v>
      </c>
      <c r="C25" s="1">
        <v>6.592</v>
      </c>
      <c r="D25" s="1">
        <v>1.324</v>
      </c>
      <c r="E25" s="1">
        <v>1.472</v>
      </c>
      <c r="F25" s="1">
        <v>1.045</v>
      </c>
      <c r="G25" s="1">
        <v>0.436</v>
      </c>
      <c r="H25" s="1">
        <v>0.111</v>
      </c>
      <c r="I25" s="1">
        <v>0.183</v>
      </c>
    </row>
    <row r="26">
      <c r="A26" s="1">
        <v>25.0</v>
      </c>
      <c r="B26" s="1" t="s">
        <v>58</v>
      </c>
      <c r="C26" s="1">
        <v>6.446</v>
      </c>
      <c r="D26" s="1">
        <v>1.368</v>
      </c>
      <c r="E26" s="1">
        <v>1.43</v>
      </c>
      <c r="F26" s="1">
        <v>0.914</v>
      </c>
      <c r="G26" s="1">
        <v>0.351</v>
      </c>
      <c r="H26" s="1">
        <v>0.242</v>
      </c>
      <c r="I26" s="1">
        <v>0.097</v>
      </c>
    </row>
    <row r="27">
      <c r="A27" s="1">
        <v>26.0</v>
      </c>
      <c r="B27" s="1" t="s">
        <v>59</v>
      </c>
      <c r="C27" s="1">
        <v>6.444</v>
      </c>
      <c r="D27" s="1">
        <v>1.159</v>
      </c>
      <c r="E27" s="1">
        <v>1.369</v>
      </c>
      <c r="F27" s="1">
        <v>0.92</v>
      </c>
      <c r="G27" s="1">
        <v>0.357</v>
      </c>
      <c r="H27" s="1">
        <v>0.187</v>
      </c>
      <c r="I27" s="1">
        <v>0.056</v>
      </c>
    </row>
    <row r="28">
      <c r="A28" s="1">
        <v>27.0</v>
      </c>
      <c r="B28" s="1" t="s">
        <v>60</v>
      </c>
      <c r="C28" s="1">
        <v>6.436</v>
      </c>
      <c r="D28" s="1">
        <v>0.8</v>
      </c>
      <c r="E28" s="1">
        <v>1.269</v>
      </c>
      <c r="F28" s="1">
        <v>0.746</v>
      </c>
      <c r="G28" s="1">
        <v>0.535</v>
      </c>
      <c r="H28" s="1">
        <v>0.175</v>
      </c>
      <c r="I28" s="1">
        <v>0.078</v>
      </c>
    </row>
    <row r="29">
      <c r="A29" s="1">
        <v>28.0</v>
      </c>
      <c r="B29" s="1" t="s">
        <v>61</v>
      </c>
      <c r="C29" s="1">
        <v>6.375</v>
      </c>
      <c r="D29" s="1">
        <v>1.403</v>
      </c>
      <c r="E29" s="1">
        <v>1.357</v>
      </c>
      <c r="F29" s="1">
        <v>0.795</v>
      </c>
      <c r="G29" s="1">
        <v>0.439</v>
      </c>
      <c r="H29" s="1">
        <v>0.08</v>
      </c>
      <c r="I29" s="1">
        <v>0.132</v>
      </c>
    </row>
    <row r="30">
      <c r="A30" s="1">
        <v>29.0</v>
      </c>
      <c r="B30" s="1" t="s">
        <v>62</v>
      </c>
      <c r="C30" s="1">
        <v>6.374</v>
      </c>
      <c r="D30" s="1">
        <v>1.684</v>
      </c>
      <c r="E30" s="1">
        <v>1.313</v>
      </c>
      <c r="F30" s="1">
        <v>0.871</v>
      </c>
      <c r="G30" s="1">
        <v>0.555</v>
      </c>
      <c r="H30" s="1">
        <v>0.22</v>
      </c>
      <c r="I30" s="1">
        <v>0.167</v>
      </c>
    </row>
    <row r="31">
      <c r="A31" s="1">
        <v>30.0</v>
      </c>
      <c r="B31" s="1" t="s">
        <v>63</v>
      </c>
      <c r="C31" s="1">
        <v>6.354</v>
      </c>
      <c r="D31" s="1">
        <v>1.286</v>
      </c>
      <c r="E31" s="1">
        <v>1.484</v>
      </c>
      <c r="F31" s="1">
        <v>1.062</v>
      </c>
      <c r="G31" s="1">
        <v>0.362</v>
      </c>
      <c r="H31" s="1">
        <v>0.153</v>
      </c>
      <c r="I31" s="1">
        <v>0.079</v>
      </c>
    </row>
    <row r="32">
      <c r="A32" s="1">
        <v>31.0</v>
      </c>
      <c r="B32" s="1" t="s">
        <v>64</v>
      </c>
      <c r="C32" s="1">
        <v>6.321</v>
      </c>
      <c r="D32" s="1">
        <v>1.149</v>
      </c>
      <c r="E32" s="1">
        <v>1.442</v>
      </c>
      <c r="F32" s="1">
        <v>0.91</v>
      </c>
      <c r="G32" s="1">
        <v>0.516</v>
      </c>
      <c r="H32" s="1">
        <v>0.109</v>
      </c>
      <c r="I32" s="1">
        <v>0.054</v>
      </c>
    </row>
    <row r="33">
      <c r="A33" s="1">
        <v>32.0</v>
      </c>
      <c r="B33" s="1" t="s">
        <v>65</v>
      </c>
      <c r="C33" s="1">
        <v>6.3</v>
      </c>
      <c r="D33" s="1">
        <v>1.004</v>
      </c>
      <c r="E33" s="1">
        <v>1.439</v>
      </c>
      <c r="F33" s="1">
        <v>0.802</v>
      </c>
      <c r="G33" s="1">
        <v>0.39</v>
      </c>
      <c r="H33" s="1">
        <v>0.099</v>
      </c>
      <c r="I33" s="1">
        <v>0.086</v>
      </c>
    </row>
    <row r="34">
      <c r="A34" s="1">
        <v>33.0</v>
      </c>
      <c r="B34" s="1" t="s">
        <v>66</v>
      </c>
      <c r="C34" s="1">
        <v>6.293</v>
      </c>
      <c r="D34" s="1">
        <v>1.124</v>
      </c>
      <c r="E34" s="1">
        <v>1.465</v>
      </c>
      <c r="F34" s="1">
        <v>0.891</v>
      </c>
      <c r="G34" s="1">
        <v>0.523</v>
      </c>
      <c r="H34" s="1">
        <v>0.127</v>
      </c>
      <c r="I34" s="1">
        <v>0.15</v>
      </c>
    </row>
    <row r="35">
      <c r="A35" s="1">
        <v>34.0</v>
      </c>
      <c r="B35" s="1" t="s">
        <v>67</v>
      </c>
      <c r="C35" s="1">
        <v>6.262</v>
      </c>
      <c r="D35" s="1">
        <v>1.572</v>
      </c>
      <c r="E35" s="1">
        <v>1.463</v>
      </c>
      <c r="F35" s="1">
        <v>1.141</v>
      </c>
      <c r="G35" s="1">
        <v>0.556</v>
      </c>
      <c r="H35" s="1">
        <v>0.271</v>
      </c>
      <c r="I35" s="1">
        <v>0.453</v>
      </c>
    </row>
    <row r="36">
      <c r="A36" s="1">
        <v>35.0</v>
      </c>
      <c r="B36" s="1" t="s">
        <v>68</v>
      </c>
      <c r="C36" s="1">
        <v>6.253</v>
      </c>
      <c r="D36" s="1">
        <v>0.794</v>
      </c>
      <c r="E36" s="1">
        <v>1.242</v>
      </c>
      <c r="F36" s="1">
        <v>0.789</v>
      </c>
      <c r="G36" s="1">
        <v>0.43</v>
      </c>
      <c r="H36" s="1">
        <v>0.093</v>
      </c>
      <c r="I36" s="1">
        <v>0.074</v>
      </c>
    </row>
    <row r="37">
      <c r="A37" s="1">
        <v>36.0</v>
      </c>
      <c r="B37" s="1" t="s">
        <v>69</v>
      </c>
      <c r="C37" s="1">
        <v>6.223</v>
      </c>
      <c r="D37" s="1">
        <v>1.294</v>
      </c>
      <c r="E37" s="1">
        <v>1.488</v>
      </c>
      <c r="F37" s="1">
        <v>1.039</v>
      </c>
      <c r="G37" s="1">
        <v>0.231</v>
      </c>
      <c r="H37" s="1">
        <v>0.158</v>
      </c>
      <c r="I37" s="1">
        <v>0.03</v>
      </c>
    </row>
    <row r="38">
      <c r="A38" s="1">
        <v>37.0</v>
      </c>
      <c r="B38" s="1" t="s">
        <v>70</v>
      </c>
      <c r="C38" s="1">
        <v>6.199</v>
      </c>
      <c r="D38" s="1">
        <v>1.362</v>
      </c>
      <c r="E38" s="1">
        <v>1.368</v>
      </c>
      <c r="F38" s="1">
        <v>0.871</v>
      </c>
      <c r="G38" s="1">
        <v>0.536</v>
      </c>
      <c r="H38" s="1">
        <v>0.255</v>
      </c>
      <c r="I38" s="1">
        <v>0.11</v>
      </c>
    </row>
    <row r="39">
      <c r="A39" s="1">
        <v>38.0</v>
      </c>
      <c r="B39" s="1" t="s">
        <v>71</v>
      </c>
      <c r="C39" s="1">
        <v>6.198</v>
      </c>
      <c r="D39" s="1">
        <v>1.246</v>
      </c>
      <c r="E39" s="1">
        <v>1.504</v>
      </c>
      <c r="F39" s="1">
        <v>0.881</v>
      </c>
      <c r="G39" s="1">
        <v>0.334</v>
      </c>
      <c r="H39" s="1">
        <v>0.121</v>
      </c>
      <c r="I39" s="1">
        <v>0.014</v>
      </c>
    </row>
    <row r="40">
      <c r="A40" s="1">
        <v>39.0</v>
      </c>
      <c r="B40" s="1" t="s">
        <v>72</v>
      </c>
      <c r="C40" s="1">
        <v>6.192</v>
      </c>
      <c r="D40" s="1">
        <v>1.231</v>
      </c>
      <c r="E40" s="1">
        <v>1.477</v>
      </c>
      <c r="F40" s="1">
        <v>0.713</v>
      </c>
      <c r="G40" s="1">
        <v>0.489</v>
      </c>
      <c r="H40" s="1">
        <v>0.185</v>
      </c>
      <c r="I40" s="1">
        <v>0.016</v>
      </c>
    </row>
    <row r="41">
      <c r="A41" s="1">
        <v>40.0</v>
      </c>
      <c r="B41" s="1" t="s">
        <v>73</v>
      </c>
      <c r="C41" s="1">
        <v>6.182</v>
      </c>
      <c r="D41" s="1">
        <v>1.206</v>
      </c>
      <c r="E41" s="1">
        <v>1.438</v>
      </c>
      <c r="F41" s="1">
        <v>0.884</v>
      </c>
      <c r="G41" s="1">
        <v>0.483</v>
      </c>
      <c r="H41" s="1">
        <v>0.117</v>
      </c>
      <c r="I41" s="1">
        <v>0.05</v>
      </c>
    </row>
    <row r="42">
      <c r="A42" s="1">
        <v>41.0</v>
      </c>
      <c r="B42" s="1" t="s">
        <v>74</v>
      </c>
      <c r="C42" s="1">
        <v>6.174</v>
      </c>
      <c r="D42" s="1">
        <v>0.745</v>
      </c>
      <c r="E42" s="1">
        <v>1.529</v>
      </c>
      <c r="F42" s="1">
        <v>0.756</v>
      </c>
      <c r="G42" s="1">
        <v>0.631</v>
      </c>
      <c r="H42" s="1">
        <v>0.322</v>
      </c>
      <c r="I42" s="1">
        <v>0.24</v>
      </c>
    </row>
    <row r="43">
      <c r="A43" s="1">
        <v>42.0</v>
      </c>
      <c r="B43" s="1" t="s">
        <v>75</v>
      </c>
      <c r="C43" s="1">
        <v>6.149</v>
      </c>
      <c r="D43" s="1">
        <v>1.238</v>
      </c>
      <c r="E43" s="1">
        <v>1.515</v>
      </c>
      <c r="F43" s="1">
        <v>0.818</v>
      </c>
      <c r="G43" s="1">
        <v>0.291</v>
      </c>
      <c r="H43" s="1">
        <v>0.043</v>
      </c>
      <c r="I43" s="1">
        <v>0.042</v>
      </c>
    </row>
    <row r="44">
      <c r="A44" s="1">
        <v>43.0</v>
      </c>
      <c r="B44" s="1" t="s">
        <v>76</v>
      </c>
      <c r="C44" s="1">
        <v>6.125</v>
      </c>
      <c r="D44" s="1">
        <v>0.985</v>
      </c>
      <c r="E44" s="1">
        <v>1.41</v>
      </c>
      <c r="F44" s="1">
        <v>0.841</v>
      </c>
      <c r="G44" s="1">
        <v>0.47</v>
      </c>
      <c r="H44" s="1">
        <v>0.099</v>
      </c>
      <c r="I44" s="1">
        <v>0.034</v>
      </c>
    </row>
    <row r="45">
      <c r="A45" s="1">
        <v>44.0</v>
      </c>
      <c r="B45" s="1" t="s">
        <v>77</v>
      </c>
      <c r="C45" s="1">
        <v>6.118</v>
      </c>
      <c r="D45" s="1">
        <v>1.258</v>
      </c>
      <c r="E45" s="1">
        <v>1.523</v>
      </c>
      <c r="F45" s="1">
        <v>0.953</v>
      </c>
      <c r="G45" s="1">
        <v>0.564</v>
      </c>
      <c r="H45" s="1">
        <v>0.144</v>
      </c>
      <c r="I45" s="1">
        <v>0.057</v>
      </c>
    </row>
    <row r="46">
      <c r="A46" s="1">
        <v>45.0</v>
      </c>
      <c r="B46" s="1" t="s">
        <v>78</v>
      </c>
      <c r="C46" s="1">
        <v>6.105</v>
      </c>
      <c r="D46" s="1">
        <v>0.694</v>
      </c>
      <c r="E46" s="1">
        <v>1.325</v>
      </c>
      <c r="F46" s="1">
        <v>0.835</v>
      </c>
      <c r="G46" s="1">
        <v>0.435</v>
      </c>
      <c r="H46" s="1">
        <v>0.2</v>
      </c>
      <c r="I46" s="1">
        <v>0.127</v>
      </c>
    </row>
    <row r="47">
      <c r="A47" s="1">
        <v>46.0</v>
      </c>
      <c r="B47" s="1" t="s">
        <v>79</v>
      </c>
      <c r="C47" s="1">
        <v>6.1</v>
      </c>
      <c r="D47" s="1">
        <v>0.882</v>
      </c>
      <c r="E47" s="1">
        <v>1.232</v>
      </c>
      <c r="F47" s="1">
        <v>0.758</v>
      </c>
      <c r="G47" s="1">
        <v>0.489</v>
      </c>
      <c r="H47" s="1">
        <v>0.262</v>
      </c>
      <c r="I47" s="1">
        <v>0.006</v>
      </c>
    </row>
    <row r="48">
      <c r="A48" s="1">
        <v>47.0</v>
      </c>
      <c r="B48" s="1" t="s">
        <v>80</v>
      </c>
      <c r="C48" s="1">
        <v>6.086</v>
      </c>
      <c r="D48" s="1">
        <v>1.092</v>
      </c>
      <c r="E48" s="1">
        <v>1.432</v>
      </c>
      <c r="F48" s="1">
        <v>0.881</v>
      </c>
      <c r="G48" s="1">
        <v>0.471</v>
      </c>
      <c r="H48" s="1">
        <v>0.066</v>
      </c>
      <c r="I48" s="1">
        <v>0.05</v>
      </c>
    </row>
    <row r="49">
      <c r="A49" s="1">
        <v>48.0</v>
      </c>
      <c r="B49" s="1" t="s">
        <v>81</v>
      </c>
      <c r="C49" s="1">
        <v>6.07</v>
      </c>
      <c r="D49" s="1">
        <v>1.162</v>
      </c>
      <c r="E49" s="1">
        <v>1.232</v>
      </c>
      <c r="F49" s="1">
        <v>0.825</v>
      </c>
      <c r="G49" s="1">
        <v>0.462</v>
      </c>
      <c r="H49" s="1">
        <v>0.083</v>
      </c>
      <c r="I49" s="1">
        <v>0.005</v>
      </c>
    </row>
    <row r="50">
      <c r="A50" s="1">
        <v>49.0</v>
      </c>
      <c r="B50" s="1" t="s">
        <v>82</v>
      </c>
      <c r="C50" s="1">
        <v>6.046</v>
      </c>
      <c r="D50" s="1">
        <v>1.263</v>
      </c>
      <c r="E50" s="1">
        <v>1.223</v>
      </c>
      <c r="F50" s="1">
        <v>1.042</v>
      </c>
      <c r="G50" s="1">
        <v>0.406</v>
      </c>
      <c r="H50" s="1">
        <v>0.19</v>
      </c>
      <c r="I50" s="1">
        <v>0.041</v>
      </c>
    </row>
    <row r="51">
      <c r="A51" s="1">
        <v>50.0</v>
      </c>
      <c r="B51" s="1" t="s">
        <v>83</v>
      </c>
      <c r="C51" s="1">
        <v>6.028</v>
      </c>
      <c r="D51" s="1">
        <v>0.912</v>
      </c>
      <c r="E51" s="1">
        <v>1.312</v>
      </c>
      <c r="F51" s="1">
        <v>0.868</v>
      </c>
      <c r="G51" s="1">
        <v>0.498</v>
      </c>
      <c r="H51" s="1">
        <v>0.126</v>
      </c>
      <c r="I51" s="1">
        <v>0.087</v>
      </c>
    </row>
    <row r="52">
      <c r="A52" s="1">
        <v>51.0</v>
      </c>
      <c r="B52" s="1" t="s">
        <v>84</v>
      </c>
      <c r="C52" s="1">
        <v>6.021</v>
      </c>
      <c r="D52" s="1">
        <v>1.5</v>
      </c>
      <c r="E52" s="1">
        <v>1.319</v>
      </c>
      <c r="F52" s="1">
        <v>0.808</v>
      </c>
      <c r="G52" s="1">
        <v>0.493</v>
      </c>
      <c r="H52" s="1">
        <v>0.142</v>
      </c>
      <c r="I52" s="1">
        <v>0.097</v>
      </c>
    </row>
    <row r="53">
      <c r="A53" s="1">
        <v>52.0</v>
      </c>
      <c r="B53" s="1" t="s">
        <v>85</v>
      </c>
      <c r="C53" s="1">
        <v>6.008</v>
      </c>
      <c r="D53" s="1">
        <v>1.05</v>
      </c>
      <c r="E53" s="1">
        <v>1.409</v>
      </c>
      <c r="F53" s="1">
        <v>0.828</v>
      </c>
      <c r="G53" s="1">
        <v>0.557</v>
      </c>
      <c r="H53" s="1">
        <v>0.359</v>
      </c>
      <c r="I53" s="1">
        <v>0.028</v>
      </c>
    </row>
    <row r="54">
      <c r="A54" s="1">
        <v>53.0</v>
      </c>
      <c r="B54" s="1" t="s">
        <v>86</v>
      </c>
      <c r="C54" s="1">
        <v>5.94</v>
      </c>
      <c r="D54" s="1">
        <v>1.187</v>
      </c>
      <c r="E54" s="1">
        <v>1.465</v>
      </c>
      <c r="F54" s="1">
        <v>0.812</v>
      </c>
      <c r="G54" s="1">
        <v>0.264</v>
      </c>
      <c r="H54" s="1">
        <v>0.075</v>
      </c>
      <c r="I54" s="1">
        <v>0.064</v>
      </c>
    </row>
    <row r="55">
      <c r="A55" s="1">
        <v>54.0</v>
      </c>
      <c r="B55" s="1" t="s">
        <v>87</v>
      </c>
      <c r="C55" s="1">
        <v>5.895</v>
      </c>
      <c r="D55" s="1">
        <v>1.301</v>
      </c>
      <c r="E55" s="1">
        <v>1.219</v>
      </c>
      <c r="F55" s="1">
        <v>1.036</v>
      </c>
      <c r="G55" s="1">
        <v>0.159</v>
      </c>
      <c r="H55" s="1">
        <v>0.175</v>
      </c>
      <c r="I55" s="1">
        <v>0.056</v>
      </c>
    </row>
    <row r="56">
      <c r="A56" s="1">
        <v>55.0</v>
      </c>
      <c r="B56" s="1" t="s">
        <v>88</v>
      </c>
      <c r="C56" s="1">
        <v>5.893</v>
      </c>
      <c r="D56" s="1">
        <v>1.237</v>
      </c>
      <c r="E56" s="1">
        <v>1.528</v>
      </c>
      <c r="F56" s="1">
        <v>0.874</v>
      </c>
      <c r="G56" s="1">
        <v>0.495</v>
      </c>
      <c r="H56" s="1">
        <v>0.103</v>
      </c>
      <c r="I56" s="1">
        <v>0.161</v>
      </c>
    </row>
    <row r="57">
      <c r="A57" s="1">
        <v>56.0</v>
      </c>
      <c r="B57" s="1" t="s">
        <v>89</v>
      </c>
      <c r="C57" s="1">
        <v>5.89</v>
      </c>
      <c r="D57" s="1">
        <v>0.831</v>
      </c>
      <c r="E57" s="1">
        <v>1.478</v>
      </c>
      <c r="F57" s="1">
        <v>0.831</v>
      </c>
      <c r="G57" s="1">
        <v>0.49</v>
      </c>
      <c r="H57" s="1">
        <v>0.107</v>
      </c>
      <c r="I57" s="1">
        <v>0.028</v>
      </c>
    </row>
    <row r="58">
      <c r="A58" s="1">
        <v>57.0</v>
      </c>
      <c r="B58" s="1" t="s">
        <v>90</v>
      </c>
      <c r="C58" s="1">
        <v>5.888</v>
      </c>
      <c r="D58" s="1">
        <v>1.12</v>
      </c>
      <c r="E58" s="1">
        <v>1.402</v>
      </c>
      <c r="F58" s="1">
        <v>0.798</v>
      </c>
      <c r="G58" s="1">
        <v>0.498</v>
      </c>
      <c r="H58" s="1">
        <v>0.215</v>
      </c>
      <c r="I58" s="1">
        <v>0.06</v>
      </c>
    </row>
    <row r="59">
      <c r="A59" s="1">
        <v>58.0</v>
      </c>
      <c r="B59" s="1" t="s">
        <v>91</v>
      </c>
      <c r="C59" s="1">
        <v>5.886</v>
      </c>
      <c r="D59" s="1">
        <v>1.327</v>
      </c>
      <c r="E59" s="1">
        <v>1.419</v>
      </c>
      <c r="F59" s="1">
        <v>1.088</v>
      </c>
      <c r="G59" s="1">
        <v>0.445</v>
      </c>
      <c r="H59" s="1">
        <v>0.069</v>
      </c>
      <c r="I59" s="1">
        <v>0.14</v>
      </c>
    </row>
    <row r="60">
      <c r="A60" s="1">
        <v>59.0</v>
      </c>
      <c r="B60" s="1" t="s">
        <v>92</v>
      </c>
      <c r="C60" s="1">
        <v>5.86</v>
      </c>
      <c r="D60" s="1">
        <v>0.642</v>
      </c>
      <c r="E60" s="1">
        <v>1.236</v>
      </c>
      <c r="F60" s="1">
        <v>0.828</v>
      </c>
      <c r="G60" s="1">
        <v>0.507</v>
      </c>
      <c r="H60" s="1">
        <v>0.246</v>
      </c>
      <c r="I60" s="1">
        <v>0.078</v>
      </c>
    </row>
    <row r="61">
      <c r="A61" s="1">
        <v>60.0</v>
      </c>
      <c r="B61" s="1" t="s">
        <v>93</v>
      </c>
      <c r="C61" s="1">
        <v>5.809</v>
      </c>
      <c r="D61" s="1">
        <v>1.173</v>
      </c>
      <c r="E61" s="1">
        <v>1.508</v>
      </c>
      <c r="F61" s="1">
        <v>0.729</v>
      </c>
      <c r="G61" s="1">
        <v>0.41</v>
      </c>
      <c r="H61" s="1">
        <v>0.146</v>
      </c>
      <c r="I61" s="1">
        <v>0.096</v>
      </c>
    </row>
    <row r="62">
      <c r="A62" s="1">
        <v>61.0</v>
      </c>
      <c r="B62" s="1" t="s">
        <v>94</v>
      </c>
      <c r="C62" s="1">
        <v>5.779</v>
      </c>
      <c r="D62" s="1">
        <v>0.776</v>
      </c>
      <c r="E62" s="1">
        <v>1.209</v>
      </c>
      <c r="F62" s="1">
        <v>0.706</v>
      </c>
      <c r="G62" s="1">
        <v>0.511</v>
      </c>
      <c r="H62" s="1">
        <v>0.137</v>
      </c>
      <c r="I62" s="1">
        <v>0.064</v>
      </c>
    </row>
    <row r="63">
      <c r="A63" s="1">
        <v>62.0</v>
      </c>
      <c r="B63" s="1" t="s">
        <v>95</v>
      </c>
      <c r="C63" s="1">
        <v>5.758</v>
      </c>
      <c r="D63" s="1">
        <v>1.201</v>
      </c>
      <c r="E63" s="1">
        <v>1.41</v>
      </c>
      <c r="F63" s="1">
        <v>0.828</v>
      </c>
      <c r="G63" s="1">
        <v>0.199</v>
      </c>
      <c r="H63" s="1">
        <v>0.081</v>
      </c>
      <c r="I63" s="1">
        <v>0.02</v>
      </c>
    </row>
    <row r="64">
      <c r="A64" s="1">
        <v>63.0</v>
      </c>
      <c r="B64" s="1" t="s">
        <v>96</v>
      </c>
      <c r="C64" s="1">
        <v>5.743</v>
      </c>
      <c r="D64" s="1">
        <v>0.855</v>
      </c>
      <c r="E64" s="1">
        <v>1.475</v>
      </c>
      <c r="F64" s="1">
        <v>0.777</v>
      </c>
      <c r="G64" s="1">
        <v>0.514</v>
      </c>
      <c r="H64" s="1">
        <v>0.184</v>
      </c>
      <c r="I64" s="1">
        <v>0.08</v>
      </c>
    </row>
    <row r="65">
      <c r="A65" s="1">
        <v>64.0</v>
      </c>
      <c r="B65" s="1" t="s">
        <v>97</v>
      </c>
      <c r="C65" s="1">
        <v>5.718</v>
      </c>
      <c r="D65" s="1">
        <v>1.263</v>
      </c>
      <c r="E65" s="1">
        <v>1.252</v>
      </c>
      <c r="F65" s="1">
        <v>1.042</v>
      </c>
      <c r="G65" s="1">
        <v>0.417</v>
      </c>
      <c r="H65" s="1">
        <v>0.191</v>
      </c>
      <c r="I65" s="1">
        <v>0.162</v>
      </c>
    </row>
    <row r="66">
      <c r="A66" s="1">
        <v>65.0</v>
      </c>
      <c r="B66" s="1" t="s">
        <v>98</v>
      </c>
      <c r="C66" s="1">
        <v>5.697</v>
      </c>
      <c r="D66" s="1">
        <v>0.96</v>
      </c>
      <c r="E66" s="1">
        <v>1.274</v>
      </c>
      <c r="F66" s="1">
        <v>0.854</v>
      </c>
      <c r="G66" s="1">
        <v>0.455</v>
      </c>
      <c r="H66" s="1">
        <v>0.083</v>
      </c>
      <c r="I66" s="1">
        <v>0.027</v>
      </c>
    </row>
    <row r="67">
      <c r="A67" s="1">
        <v>66.0</v>
      </c>
      <c r="B67" s="1" t="s">
        <v>99</v>
      </c>
      <c r="C67" s="1">
        <v>5.693</v>
      </c>
      <c r="D67" s="1">
        <v>1.221</v>
      </c>
      <c r="E67" s="1">
        <v>1.431</v>
      </c>
      <c r="F67" s="1">
        <v>0.999</v>
      </c>
      <c r="G67" s="1">
        <v>0.508</v>
      </c>
      <c r="H67" s="1">
        <v>0.047</v>
      </c>
      <c r="I67" s="1">
        <v>0.025</v>
      </c>
    </row>
    <row r="68">
      <c r="A68" s="1">
        <v>67.0</v>
      </c>
      <c r="B68" s="1" t="s">
        <v>100</v>
      </c>
      <c r="C68" s="1">
        <v>5.653</v>
      </c>
      <c r="D68" s="1">
        <v>0.677</v>
      </c>
      <c r="E68" s="1">
        <v>0.886</v>
      </c>
      <c r="F68" s="1">
        <v>0.535</v>
      </c>
      <c r="G68" s="1">
        <v>0.313</v>
      </c>
      <c r="H68" s="1">
        <v>0.22</v>
      </c>
      <c r="I68" s="1">
        <v>0.098</v>
      </c>
    </row>
    <row r="69">
      <c r="A69" s="1">
        <v>68.0</v>
      </c>
      <c r="B69" s="1" t="s">
        <v>101</v>
      </c>
      <c r="C69" s="1">
        <v>5.648</v>
      </c>
      <c r="D69" s="1">
        <v>1.183</v>
      </c>
      <c r="E69" s="1">
        <v>1.452</v>
      </c>
      <c r="F69" s="1">
        <v>0.726</v>
      </c>
      <c r="G69" s="1">
        <v>0.334</v>
      </c>
      <c r="H69" s="1">
        <v>0.082</v>
      </c>
      <c r="I69" s="1">
        <v>0.031</v>
      </c>
    </row>
    <row r="70">
      <c r="A70" s="1">
        <v>69.0</v>
      </c>
      <c r="B70" s="1" t="s">
        <v>102</v>
      </c>
      <c r="C70" s="1">
        <v>5.631</v>
      </c>
      <c r="D70" s="1">
        <v>0.807</v>
      </c>
      <c r="E70" s="1">
        <v>1.293</v>
      </c>
      <c r="F70" s="1">
        <v>0.657</v>
      </c>
      <c r="G70" s="1">
        <v>0.558</v>
      </c>
      <c r="H70" s="1">
        <v>0.117</v>
      </c>
      <c r="I70" s="1">
        <v>0.107</v>
      </c>
    </row>
    <row r="71">
      <c r="A71" s="1">
        <v>70.0</v>
      </c>
      <c r="B71" s="1" t="s">
        <v>103</v>
      </c>
      <c r="C71" s="1">
        <v>5.603</v>
      </c>
      <c r="D71" s="1">
        <v>1.004</v>
      </c>
      <c r="E71" s="1">
        <v>1.383</v>
      </c>
      <c r="F71" s="1">
        <v>0.854</v>
      </c>
      <c r="G71" s="1">
        <v>0.282</v>
      </c>
      <c r="H71" s="1">
        <v>0.137</v>
      </c>
      <c r="I71" s="1">
        <v>0.039</v>
      </c>
    </row>
    <row r="72">
      <c r="A72" s="1">
        <v>71.0</v>
      </c>
      <c r="B72" s="1" t="s">
        <v>104</v>
      </c>
      <c r="C72" s="1">
        <v>5.529</v>
      </c>
      <c r="D72" s="1">
        <v>0.685</v>
      </c>
      <c r="E72" s="1">
        <v>1.328</v>
      </c>
      <c r="F72" s="1">
        <v>0.739</v>
      </c>
      <c r="G72" s="1">
        <v>0.245</v>
      </c>
      <c r="H72" s="1">
        <v>0.181</v>
      </c>
      <c r="I72" s="1">
        <v>0.0</v>
      </c>
    </row>
    <row r="73">
      <c r="A73" s="1">
        <v>72.0</v>
      </c>
      <c r="B73" s="1" t="s">
        <v>105</v>
      </c>
      <c r="C73" s="1">
        <v>5.525</v>
      </c>
      <c r="D73" s="1">
        <v>1.044</v>
      </c>
      <c r="E73" s="1">
        <v>1.303</v>
      </c>
      <c r="F73" s="1">
        <v>0.673</v>
      </c>
      <c r="G73" s="1">
        <v>0.416</v>
      </c>
      <c r="H73" s="1">
        <v>0.133</v>
      </c>
      <c r="I73" s="1">
        <v>0.152</v>
      </c>
    </row>
    <row r="74">
      <c r="A74" s="1">
        <v>73.0</v>
      </c>
      <c r="B74" s="1" t="s">
        <v>106</v>
      </c>
      <c r="C74" s="1">
        <v>5.523</v>
      </c>
      <c r="D74" s="1">
        <v>1.051</v>
      </c>
      <c r="E74" s="1">
        <v>1.361</v>
      </c>
      <c r="F74" s="1">
        <v>0.871</v>
      </c>
      <c r="G74" s="1">
        <v>0.197</v>
      </c>
      <c r="H74" s="1">
        <v>0.142</v>
      </c>
      <c r="I74" s="1">
        <v>0.08</v>
      </c>
    </row>
    <row r="75">
      <c r="A75" s="1">
        <v>74.0</v>
      </c>
      <c r="B75" s="1" t="s">
        <v>107</v>
      </c>
      <c r="C75" s="1">
        <v>5.467</v>
      </c>
      <c r="D75" s="1">
        <v>0.493</v>
      </c>
      <c r="E75" s="1">
        <v>1.098</v>
      </c>
      <c r="F75" s="1">
        <v>0.718</v>
      </c>
      <c r="G75" s="1">
        <v>0.389</v>
      </c>
      <c r="H75" s="1">
        <v>0.23</v>
      </c>
      <c r="I75" s="1">
        <v>0.144</v>
      </c>
    </row>
    <row r="76">
      <c r="A76" s="1">
        <v>75.0</v>
      </c>
      <c r="B76" s="1" t="s">
        <v>108</v>
      </c>
      <c r="C76" s="1">
        <v>5.432</v>
      </c>
      <c r="D76" s="1">
        <v>1.155</v>
      </c>
      <c r="E76" s="1">
        <v>1.266</v>
      </c>
      <c r="F76" s="1">
        <v>0.914</v>
      </c>
      <c r="G76" s="1">
        <v>0.296</v>
      </c>
      <c r="H76" s="1">
        <v>0.119</v>
      </c>
      <c r="I76" s="1">
        <v>0.022</v>
      </c>
    </row>
    <row r="77">
      <c r="A77" s="1">
        <v>76.0</v>
      </c>
      <c r="B77" s="1" t="s">
        <v>109</v>
      </c>
      <c r="C77" s="1">
        <v>5.43</v>
      </c>
      <c r="D77" s="1">
        <v>1.438</v>
      </c>
      <c r="E77" s="1">
        <v>1.277</v>
      </c>
      <c r="F77" s="1">
        <v>1.122</v>
      </c>
      <c r="G77" s="1">
        <v>0.44</v>
      </c>
      <c r="H77" s="1">
        <v>0.258</v>
      </c>
      <c r="I77" s="1">
        <v>0.287</v>
      </c>
    </row>
    <row r="78">
      <c r="A78" s="1">
        <v>77.0</v>
      </c>
      <c r="B78" s="1" t="s">
        <v>110</v>
      </c>
      <c r="C78" s="1">
        <v>5.425</v>
      </c>
      <c r="D78" s="1">
        <v>1.015</v>
      </c>
      <c r="E78" s="1">
        <v>1.401</v>
      </c>
      <c r="F78" s="1">
        <v>0.779</v>
      </c>
      <c r="G78" s="1">
        <v>0.497</v>
      </c>
      <c r="H78" s="1">
        <v>0.113</v>
      </c>
      <c r="I78" s="1">
        <v>0.101</v>
      </c>
    </row>
    <row r="79">
      <c r="A79" s="1">
        <v>78.0</v>
      </c>
      <c r="B79" s="1" t="s">
        <v>111</v>
      </c>
      <c r="C79" s="1">
        <v>5.386</v>
      </c>
      <c r="D79" s="1">
        <v>0.945</v>
      </c>
      <c r="E79" s="1">
        <v>1.212</v>
      </c>
      <c r="F79" s="1">
        <v>0.845</v>
      </c>
      <c r="G79" s="1">
        <v>0.212</v>
      </c>
      <c r="H79" s="1">
        <v>0.263</v>
      </c>
      <c r="I79" s="1">
        <v>0.006</v>
      </c>
    </row>
    <row r="80">
      <c r="A80" s="1">
        <v>79.0</v>
      </c>
      <c r="B80" s="1" t="s">
        <v>112</v>
      </c>
      <c r="C80" s="1">
        <v>5.373</v>
      </c>
      <c r="D80" s="1">
        <v>1.183</v>
      </c>
      <c r="E80" s="1">
        <v>1.36</v>
      </c>
      <c r="F80" s="1">
        <v>0.808</v>
      </c>
      <c r="G80" s="1">
        <v>0.195</v>
      </c>
      <c r="H80" s="1">
        <v>0.083</v>
      </c>
      <c r="I80" s="1">
        <v>0.106</v>
      </c>
    </row>
    <row r="81">
      <c r="A81" s="1">
        <v>80.0</v>
      </c>
      <c r="B81" s="1" t="s">
        <v>113</v>
      </c>
      <c r="C81" s="1">
        <v>5.339</v>
      </c>
      <c r="D81" s="1">
        <v>1.221</v>
      </c>
      <c r="E81" s="1">
        <v>1.171</v>
      </c>
      <c r="F81" s="1">
        <v>0.828</v>
      </c>
      <c r="G81" s="1">
        <v>0.508</v>
      </c>
      <c r="H81" s="1">
        <v>0.26</v>
      </c>
      <c r="I81" s="1">
        <v>0.024</v>
      </c>
    </row>
    <row r="82">
      <c r="A82" s="1">
        <v>81.0</v>
      </c>
      <c r="B82" s="1" t="s">
        <v>114</v>
      </c>
      <c r="C82" s="1">
        <v>5.323</v>
      </c>
      <c r="D82" s="1">
        <v>1.067</v>
      </c>
      <c r="E82" s="1">
        <v>1.465</v>
      </c>
      <c r="F82" s="1">
        <v>0.789</v>
      </c>
      <c r="G82" s="1">
        <v>0.235</v>
      </c>
      <c r="H82" s="1">
        <v>0.094</v>
      </c>
      <c r="I82" s="1">
        <v>0.142</v>
      </c>
    </row>
    <row r="83">
      <c r="A83" s="1">
        <v>82.0</v>
      </c>
      <c r="B83" s="1" t="s">
        <v>115</v>
      </c>
      <c r="C83" s="1">
        <v>5.287</v>
      </c>
      <c r="D83" s="1">
        <v>1.181</v>
      </c>
      <c r="E83" s="1">
        <v>1.156</v>
      </c>
      <c r="F83" s="1">
        <v>0.999</v>
      </c>
      <c r="G83" s="1">
        <v>0.067</v>
      </c>
      <c r="H83" s="1">
        <v>0.0</v>
      </c>
      <c r="I83" s="1">
        <v>0.034</v>
      </c>
    </row>
    <row r="84">
      <c r="A84" s="1">
        <v>83.0</v>
      </c>
      <c r="B84" s="1" t="s">
        <v>116</v>
      </c>
      <c r="C84" s="1">
        <v>5.285</v>
      </c>
      <c r="D84" s="1">
        <v>0.948</v>
      </c>
      <c r="E84" s="1">
        <v>1.531</v>
      </c>
      <c r="F84" s="1">
        <v>0.667</v>
      </c>
      <c r="G84" s="1">
        <v>0.317</v>
      </c>
      <c r="H84" s="1">
        <v>0.235</v>
      </c>
      <c r="I84" s="1">
        <v>0.038</v>
      </c>
    </row>
    <row r="85">
      <c r="A85" s="1">
        <v>84.0</v>
      </c>
      <c r="B85" s="1" t="s">
        <v>117</v>
      </c>
      <c r="C85" s="1">
        <v>5.274</v>
      </c>
      <c r="D85" s="1">
        <v>0.983</v>
      </c>
      <c r="E85" s="1">
        <v>1.294</v>
      </c>
      <c r="F85" s="1">
        <v>0.838</v>
      </c>
      <c r="G85" s="1">
        <v>0.345</v>
      </c>
      <c r="H85" s="1">
        <v>0.185</v>
      </c>
      <c r="I85" s="1">
        <v>0.034</v>
      </c>
    </row>
    <row r="86">
      <c r="A86" s="1">
        <v>85.0</v>
      </c>
      <c r="B86" s="1" t="s">
        <v>118</v>
      </c>
      <c r="C86" s="1">
        <v>5.265</v>
      </c>
      <c r="D86" s="1">
        <v>0.696</v>
      </c>
      <c r="E86" s="1">
        <v>1.111</v>
      </c>
      <c r="F86" s="1">
        <v>0.245</v>
      </c>
      <c r="G86" s="1">
        <v>0.426</v>
      </c>
      <c r="H86" s="1">
        <v>0.215</v>
      </c>
      <c r="I86" s="1">
        <v>0.041</v>
      </c>
    </row>
    <row r="87">
      <c r="A87" s="1">
        <v>86.0</v>
      </c>
      <c r="B87" s="1" t="s">
        <v>119</v>
      </c>
      <c r="C87" s="1">
        <v>5.261</v>
      </c>
      <c r="D87" s="1">
        <v>0.551</v>
      </c>
      <c r="E87" s="1">
        <v>1.438</v>
      </c>
      <c r="F87" s="1">
        <v>0.723</v>
      </c>
      <c r="G87" s="1">
        <v>0.508</v>
      </c>
      <c r="H87" s="1">
        <v>0.3</v>
      </c>
      <c r="I87" s="1">
        <v>0.023</v>
      </c>
    </row>
    <row r="88">
      <c r="A88" s="1">
        <v>87.0</v>
      </c>
      <c r="B88" s="1" t="s">
        <v>120</v>
      </c>
      <c r="C88" s="1">
        <v>5.247</v>
      </c>
      <c r="D88" s="1">
        <v>1.052</v>
      </c>
      <c r="E88" s="1">
        <v>1.538</v>
      </c>
      <c r="F88" s="1">
        <v>0.657</v>
      </c>
      <c r="G88" s="1">
        <v>0.394</v>
      </c>
      <c r="H88" s="1">
        <v>0.244</v>
      </c>
      <c r="I88" s="1">
        <v>0.028</v>
      </c>
    </row>
    <row r="89">
      <c r="A89" s="1">
        <v>88.0</v>
      </c>
      <c r="B89" s="1" t="s">
        <v>121</v>
      </c>
      <c r="C89" s="1">
        <v>5.211</v>
      </c>
      <c r="D89" s="1">
        <v>1.002</v>
      </c>
      <c r="E89" s="1">
        <v>1.16</v>
      </c>
      <c r="F89" s="1">
        <v>0.785</v>
      </c>
      <c r="G89" s="1">
        <v>0.086</v>
      </c>
      <c r="H89" s="1">
        <v>0.073</v>
      </c>
      <c r="I89" s="1">
        <v>0.114</v>
      </c>
    </row>
    <row r="90">
      <c r="A90" s="1">
        <v>89.0</v>
      </c>
      <c r="B90" s="1" t="s">
        <v>122</v>
      </c>
      <c r="C90" s="1">
        <v>5.208</v>
      </c>
      <c r="D90" s="1">
        <v>0.801</v>
      </c>
      <c r="E90" s="1">
        <v>0.782</v>
      </c>
      <c r="F90" s="1">
        <v>0.782</v>
      </c>
      <c r="G90" s="1">
        <v>0.418</v>
      </c>
      <c r="H90" s="1">
        <v>0.036</v>
      </c>
      <c r="I90" s="1">
        <v>0.076</v>
      </c>
    </row>
    <row r="91">
      <c r="A91" s="1">
        <v>90.0</v>
      </c>
      <c r="B91" s="1" t="s">
        <v>123</v>
      </c>
      <c r="C91" s="1">
        <v>5.208</v>
      </c>
      <c r="D91" s="1">
        <v>1.043</v>
      </c>
      <c r="E91" s="1">
        <v>1.147</v>
      </c>
      <c r="F91" s="1">
        <v>0.769</v>
      </c>
      <c r="G91" s="1">
        <v>0.351</v>
      </c>
      <c r="H91" s="1">
        <v>0.035</v>
      </c>
      <c r="I91" s="1">
        <v>0.182</v>
      </c>
    </row>
    <row r="92">
      <c r="A92" s="1">
        <v>91.0</v>
      </c>
      <c r="B92" s="1" t="s">
        <v>124</v>
      </c>
      <c r="C92" s="1">
        <v>5.197</v>
      </c>
      <c r="D92" s="1">
        <v>0.987</v>
      </c>
      <c r="E92" s="1">
        <v>1.224</v>
      </c>
      <c r="F92" s="1">
        <v>0.815</v>
      </c>
      <c r="G92" s="1">
        <v>0.216</v>
      </c>
      <c r="H92" s="1">
        <v>0.166</v>
      </c>
      <c r="I92" s="1">
        <v>0.027</v>
      </c>
    </row>
    <row r="93">
      <c r="A93" s="1">
        <v>92.0</v>
      </c>
      <c r="B93" s="1" t="s">
        <v>125</v>
      </c>
      <c r="C93" s="1">
        <v>5.192</v>
      </c>
      <c r="D93" s="1">
        <v>0.931</v>
      </c>
      <c r="E93" s="1">
        <v>1.203</v>
      </c>
      <c r="F93" s="1">
        <v>0.66</v>
      </c>
      <c r="G93" s="1">
        <v>0.491</v>
      </c>
      <c r="H93" s="1">
        <v>0.498</v>
      </c>
      <c r="I93" s="1">
        <v>0.028</v>
      </c>
    </row>
    <row r="94">
      <c r="A94" s="1">
        <v>93.0</v>
      </c>
      <c r="B94" s="1" t="s">
        <v>126</v>
      </c>
      <c r="C94" s="1">
        <v>5.191</v>
      </c>
      <c r="D94" s="1">
        <v>1.029</v>
      </c>
      <c r="E94" s="1">
        <v>1.125</v>
      </c>
      <c r="F94" s="1">
        <v>0.893</v>
      </c>
      <c r="G94" s="1">
        <v>0.521</v>
      </c>
      <c r="H94" s="1">
        <v>0.058</v>
      </c>
      <c r="I94" s="1">
        <v>0.1</v>
      </c>
    </row>
    <row r="95">
      <c r="A95" s="1">
        <v>94.0</v>
      </c>
      <c r="B95" s="1" t="s">
        <v>127</v>
      </c>
      <c r="C95" s="1">
        <v>5.175</v>
      </c>
      <c r="D95" s="1">
        <v>0.741</v>
      </c>
      <c r="E95" s="1">
        <v>1.346</v>
      </c>
      <c r="F95" s="1">
        <v>0.851</v>
      </c>
      <c r="G95" s="1">
        <v>0.543</v>
      </c>
      <c r="H95" s="1">
        <v>0.147</v>
      </c>
      <c r="I95" s="1">
        <v>0.073</v>
      </c>
    </row>
    <row r="96">
      <c r="A96" s="1">
        <v>95.0</v>
      </c>
      <c r="B96" s="1" t="s">
        <v>128</v>
      </c>
      <c r="C96" s="1">
        <v>5.082</v>
      </c>
      <c r="D96" s="1">
        <v>0.813</v>
      </c>
      <c r="E96" s="1">
        <v>1.321</v>
      </c>
      <c r="F96" s="1">
        <v>0.604</v>
      </c>
      <c r="G96" s="1">
        <v>0.457</v>
      </c>
      <c r="H96" s="1">
        <v>0.37</v>
      </c>
      <c r="I96" s="1">
        <v>0.167</v>
      </c>
    </row>
    <row r="97">
      <c r="A97" s="1">
        <v>96.0</v>
      </c>
      <c r="B97" s="1" t="s">
        <v>129</v>
      </c>
      <c r="C97" s="1">
        <v>5.044</v>
      </c>
      <c r="D97" s="1">
        <v>0.549</v>
      </c>
      <c r="E97" s="1">
        <v>0.91</v>
      </c>
      <c r="F97" s="1">
        <v>0.331</v>
      </c>
      <c r="G97" s="1">
        <v>0.381</v>
      </c>
      <c r="H97" s="1">
        <v>0.187</v>
      </c>
      <c r="I97" s="1">
        <v>0.037</v>
      </c>
    </row>
    <row r="98">
      <c r="A98" s="1">
        <v>97.0</v>
      </c>
      <c r="B98" s="1" t="s">
        <v>130</v>
      </c>
      <c r="C98" s="1">
        <v>5.011</v>
      </c>
      <c r="D98" s="1">
        <v>1.092</v>
      </c>
      <c r="E98" s="1">
        <v>1.513</v>
      </c>
      <c r="F98" s="1">
        <v>0.815</v>
      </c>
      <c r="G98" s="1">
        <v>0.311</v>
      </c>
      <c r="H98" s="1">
        <v>0.081</v>
      </c>
      <c r="I98" s="1">
        <v>0.004</v>
      </c>
    </row>
    <row r="99">
      <c r="A99" s="1">
        <v>98.0</v>
      </c>
      <c r="B99" s="1" t="s">
        <v>131</v>
      </c>
      <c r="C99" s="1">
        <v>4.996</v>
      </c>
      <c r="D99" s="1">
        <v>0.611</v>
      </c>
      <c r="E99" s="1">
        <v>0.868</v>
      </c>
      <c r="F99" s="1">
        <v>0.486</v>
      </c>
      <c r="G99" s="1">
        <v>0.381</v>
      </c>
      <c r="H99" s="1">
        <v>0.245</v>
      </c>
      <c r="I99" s="1">
        <v>0.04</v>
      </c>
    </row>
    <row r="100">
      <c r="A100" s="1">
        <v>99.0</v>
      </c>
      <c r="B100" s="1" t="s">
        <v>132</v>
      </c>
      <c r="C100" s="1">
        <v>4.944</v>
      </c>
      <c r="D100" s="1">
        <v>0.569</v>
      </c>
      <c r="E100" s="1">
        <v>0.808</v>
      </c>
      <c r="F100" s="1">
        <v>0.232</v>
      </c>
      <c r="G100" s="1">
        <v>0.352</v>
      </c>
      <c r="H100" s="1">
        <v>0.154</v>
      </c>
      <c r="I100" s="1">
        <v>0.09</v>
      </c>
    </row>
    <row r="101">
      <c r="A101" s="1">
        <v>100.0</v>
      </c>
      <c r="B101" s="1" t="s">
        <v>133</v>
      </c>
      <c r="C101" s="1">
        <v>4.913</v>
      </c>
      <c r="D101" s="1">
        <v>0.446</v>
      </c>
      <c r="E101" s="1">
        <v>1.226</v>
      </c>
      <c r="F101" s="1">
        <v>0.677</v>
      </c>
      <c r="G101" s="1">
        <v>0.439</v>
      </c>
      <c r="H101" s="1">
        <v>0.285</v>
      </c>
      <c r="I101" s="1">
        <v>0.089</v>
      </c>
    </row>
    <row r="102">
      <c r="A102" s="1">
        <v>101.0</v>
      </c>
      <c r="B102" s="1" t="s">
        <v>134</v>
      </c>
      <c r="C102" s="1">
        <v>4.906</v>
      </c>
      <c r="D102" s="1">
        <v>0.837</v>
      </c>
      <c r="E102" s="1">
        <v>1.225</v>
      </c>
      <c r="F102" s="1">
        <v>0.815</v>
      </c>
      <c r="G102" s="1">
        <v>0.383</v>
      </c>
      <c r="H102" s="1">
        <v>0.11</v>
      </c>
      <c r="I102" s="1">
        <v>0.13</v>
      </c>
    </row>
    <row r="103">
      <c r="A103" s="1">
        <v>102.0</v>
      </c>
      <c r="B103" s="1" t="s">
        <v>135</v>
      </c>
      <c r="C103" s="1">
        <v>4.883</v>
      </c>
      <c r="D103" s="1">
        <v>0.393</v>
      </c>
      <c r="E103" s="1">
        <v>0.437</v>
      </c>
      <c r="F103" s="1">
        <v>0.397</v>
      </c>
      <c r="G103" s="1">
        <v>0.349</v>
      </c>
      <c r="H103" s="1">
        <v>0.175</v>
      </c>
      <c r="I103" s="1">
        <v>0.082</v>
      </c>
    </row>
    <row r="104">
      <c r="A104" s="1">
        <v>103.0</v>
      </c>
      <c r="B104" s="1" t="s">
        <v>136</v>
      </c>
      <c r="C104" s="1">
        <v>4.812</v>
      </c>
      <c r="D104" s="1">
        <v>0.673</v>
      </c>
      <c r="E104" s="1">
        <v>0.799</v>
      </c>
      <c r="F104" s="1">
        <v>0.508</v>
      </c>
      <c r="G104" s="1">
        <v>0.372</v>
      </c>
      <c r="H104" s="1">
        <v>0.105</v>
      </c>
      <c r="I104" s="1">
        <v>0.093</v>
      </c>
    </row>
    <row r="105">
      <c r="A105" s="1">
        <v>104.0</v>
      </c>
      <c r="B105" s="1" t="s">
        <v>137</v>
      </c>
      <c r="C105" s="1">
        <v>4.799</v>
      </c>
      <c r="D105" s="1">
        <v>1.057</v>
      </c>
      <c r="E105" s="1">
        <v>1.183</v>
      </c>
      <c r="F105" s="1">
        <v>0.571</v>
      </c>
      <c r="G105" s="1">
        <v>0.295</v>
      </c>
      <c r="H105" s="1">
        <v>0.043</v>
      </c>
      <c r="I105" s="1">
        <v>0.055</v>
      </c>
    </row>
    <row r="106">
      <c r="A106" s="1">
        <v>105.0</v>
      </c>
      <c r="B106" s="1" t="s">
        <v>138</v>
      </c>
      <c r="C106" s="1">
        <v>4.796</v>
      </c>
      <c r="D106" s="1">
        <v>0.764</v>
      </c>
      <c r="E106" s="1">
        <v>1.03</v>
      </c>
      <c r="F106" s="1">
        <v>0.551</v>
      </c>
      <c r="G106" s="1">
        <v>0.547</v>
      </c>
      <c r="H106" s="1">
        <v>0.266</v>
      </c>
      <c r="I106" s="1">
        <v>0.164</v>
      </c>
    </row>
    <row r="107">
      <c r="A107" s="1">
        <v>106.0</v>
      </c>
      <c r="B107" s="1" t="s">
        <v>139</v>
      </c>
      <c r="C107" s="1">
        <v>4.722</v>
      </c>
      <c r="D107" s="1">
        <v>0.96</v>
      </c>
      <c r="E107" s="1">
        <v>1.351</v>
      </c>
      <c r="F107" s="1">
        <v>0.469</v>
      </c>
      <c r="G107" s="1">
        <v>0.389</v>
      </c>
      <c r="H107" s="1">
        <v>0.13</v>
      </c>
      <c r="I107" s="1">
        <v>0.055</v>
      </c>
    </row>
    <row r="108">
      <c r="A108" s="1">
        <v>107.0</v>
      </c>
      <c r="B108" s="1" t="s">
        <v>140</v>
      </c>
      <c r="C108" s="1">
        <v>4.719</v>
      </c>
      <c r="D108" s="1">
        <v>0.947</v>
      </c>
      <c r="E108" s="1">
        <v>0.848</v>
      </c>
      <c r="F108" s="1">
        <v>0.874</v>
      </c>
      <c r="G108" s="1">
        <v>0.383</v>
      </c>
      <c r="H108" s="1">
        <v>0.178</v>
      </c>
      <c r="I108" s="1">
        <v>0.027</v>
      </c>
    </row>
    <row r="109">
      <c r="A109" s="1">
        <v>108.0</v>
      </c>
      <c r="B109" s="1" t="s">
        <v>141</v>
      </c>
      <c r="C109" s="1">
        <v>4.707</v>
      </c>
      <c r="D109" s="1">
        <v>0.96</v>
      </c>
      <c r="E109" s="1">
        <v>1.427</v>
      </c>
      <c r="F109" s="1">
        <v>0.805</v>
      </c>
      <c r="G109" s="1">
        <v>0.154</v>
      </c>
      <c r="H109" s="1">
        <v>0.064</v>
      </c>
      <c r="I109" s="1">
        <v>0.047</v>
      </c>
    </row>
    <row r="110">
      <c r="A110" s="1">
        <v>109.0</v>
      </c>
      <c r="B110" s="1" t="s">
        <v>142</v>
      </c>
      <c r="C110" s="1">
        <v>4.7</v>
      </c>
      <c r="D110" s="1">
        <v>0.574</v>
      </c>
      <c r="E110" s="1">
        <v>1.122</v>
      </c>
      <c r="F110" s="1">
        <v>0.637</v>
      </c>
      <c r="G110" s="1">
        <v>0.609</v>
      </c>
      <c r="H110" s="1">
        <v>0.232</v>
      </c>
      <c r="I110" s="1">
        <v>0.062</v>
      </c>
    </row>
    <row r="111">
      <c r="A111" s="1">
        <v>110.0</v>
      </c>
      <c r="B111" s="1" t="s">
        <v>143</v>
      </c>
      <c r="C111" s="1">
        <v>4.696</v>
      </c>
      <c r="D111" s="1">
        <v>0.657</v>
      </c>
      <c r="E111" s="1">
        <v>1.247</v>
      </c>
      <c r="F111" s="1">
        <v>0.672</v>
      </c>
      <c r="G111" s="1">
        <v>0.225</v>
      </c>
      <c r="H111" s="1">
        <v>0.103</v>
      </c>
      <c r="I111" s="1">
        <v>0.066</v>
      </c>
    </row>
    <row r="112">
      <c r="A112" s="1">
        <v>111.0</v>
      </c>
      <c r="B112" s="1" t="s">
        <v>144</v>
      </c>
      <c r="C112" s="1">
        <v>4.681</v>
      </c>
      <c r="D112" s="1">
        <v>0.45</v>
      </c>
      <c r="E112" s="1">
        <v>1.134</v>
      </c>
      <c r="F112" s="1">
        <v>0.571</v>
      </c>
      <c r="G112" s="1">
        <v>0.292</v>
      </c>
      <c r="H112" s="1">
        <v>0.153</v>
      </c>
      <c r="I112" s="1">
        <v>0.072</v>
      </c>
    </row>
    <row r="113">
      <c r="A113" s="1">
        <v>112.0</v>
      </c>
      <c r="B113" s="1" t="s">
        <v>145</v>
      </c>
      <c r="C113" s="1">
        <v>4.668</v>
      </c>
      <c r="D113" s="1">
        <v>0.0</v>
      </c>
      <c r="E113" s="1">
        <v>0.698</v>
      </c>
      <c r="F113" s="1">
        <v>0.268</v>
      </c>
      <c r="G113" s="1">
        <v>0.559</v>
      </c>
      <c r="H113" s="1">
        <v>0.243</v>
      </c>
      <c r="I113" s="1">
        <v>0.27</v>
      </c>
    </row>
    <row r="114">
      <c r="A114" s="1">
        <v>113.0</v>
      </c>
      <c r="B114" s="1" t="s">
        <v>146</v>
      </c>
      <c r="C114" s="1">
        <v>4.639</v>
      </c>
      <c r="D114" s="1">
        <v>0.879</v>
      </c>
      <c r="E114" s="1">
        <v>1.313</v>
      </c>
      <c r="F114" s="1">
        <v>0.477</v>
      </c>
      <c r="G114" s="1">
        <v>0.401</v>
      </c>
      <c r="H114" s="1">
        <v>0.07</v>
      </c>
      <c r="I114" s="1">
        <v>0.056</v>
      </c>
    </row>
    <row r="115">
      <c r="A115" s="1">
        <v>114.0</v>
      </c>
      <c r="B115" s="1" t="s">
        <v>147</v>
      </c>
      <c r="C115" s="1">
        <v>4.628</v>
      </c>
      <c r="D115" s="1">
        <v>0.138</v>
      </c>
      <c r="E115" s="1">
        <v>0.774</v>
      </c>
      <c r="F115" s="1">
        <v>0.366</v>
      </c>
      <c r="G115" s="1">
        <v>0.318</v>
      </c>
      <c r="H115" s="1">
        <v>0.188</v>
      </c>
      <c r="I115" s="1">
        <v>0.102</v>
      </c>
    </row>
    <row r="116">
      <c r="A116" s="1">
        <v>115.0</v>
      </c>
      <c r="B116" s="1" t="s">
        <v>148</v>
      </c>
      <c r="C116" s="1">
        <v>4.587</v>
      </c>
      <c r="D116" s="1">
        <v>0.331</v>
      </c>
      <c r="E116" s="1">
        <v>1.056</v>
      </c>
      <c r="F116" s="1">
        <v>0.38</v>
      </c>
      <c r="G116" s="1">
        <v>0.255</v>
      </c>
      <c r="H116" s="1">
        <v>0.177</v>
      </c>
      <c r="I116" s="1">
        <v>0.113</v>
      </c>
    </row>
    <row r="117">
      <c r="A117" s="1">
        <v>116.0</v>
      </c>
      <c r="B117" s="1" t="s">
        <v>149</v>
      </c>
      <c r="C117" s="1">
        <v>4.559</v>
      </c>
      <c r="D117" s="1">
        <v>0.85</v>
      </c>
      <c r="E117" s="1">
        <v>1.055</v>
      </c>
      <c r="F117" s="1">
        <v>0.815</v>
      </c>
      <c r="G117" s="1">
        <v>0.283</v>
      </c>
      <c r="H117" s="1">
        <v>0.095</v>
      </c>
      <c r="I117" s="1">
        <v>0.064</v>
      </c>
    </row>
    <row r="118">
      <c r="A118" s="1">
        <v>117.0</v>
      </c>
      <c r="B118" s="1" t="s">
        <v>150</v>
      </c>
      <c r="C118" s="1">
        <v>4.548</v>
      </c>
      <c r="D118" s="1">
        <v>1.1</v>
      </c>
      <c r="E118" s="1">
        <v>0.842</v>
      </c>
      <c r="F118" s="1">
        <v>0.785</v>
      </c>
      <c r="G118" s="1">
        <v>0.305</v>
      </c>
      <c r="H118" s="1">
        <v>0.27</v>
      </c>
      <c r="I118" s="1">
        <v>0.125</v>
      </c>
    </row>
    <row r="119">
      <c r="A119" s="1">
        <v>118.0</v>
      </c>
      <c r="B119" s="1" t="s">
        <v>151</v>
      </c>
      <c r="C119" s="1">
        <v>4.534</v>
      </c>
      <c r="D119" s="1">
        <v>0.38</v>
      </c>
      <c r="E119" s="1">
        <v>0.829</v>
      </c>
      <c r="F119" s="1">
        <v>0.375</v>
      </c>
      <c r="G119" s="1">
        <v>0.332</v>
      </c>
      <c r="H119" s="1">
        <v>0.207</v>
      </c>
      <c r="I119" s="1">
        <v>0.086</v>
      </c>
    </row>
    <row r="120">
      <c r="A120" s="1">
        <v>119.0</v>
      </c>
      <c r="B120" s="1" t="s">
        <v>152</v>
      </c>
      <c r="C120" s="1">
        <v>4.519</v>
      </c>
      <c r="D120" s="1">
        <v>0.886</v>
      </c>
      <c r="E120" s="1">
        <v>0.666</v>
      </c>
      <c r="F120" s="1">
        <v>0.752</v>
      </c>
      <c r="G120" s="1">
        <v>0.346</v>
      </c>
      <c r="H120" s="1">
        <v>0.043</v>
      </c>
      <c r="I120" s="1">
        <v>0.164</v>
      </c>
    </row>
    <row r="121">
      <c r="A121" s="1">
        <v>120.0</v>
      </c>
      <c r="B121" s="1" t="s">
        <v>153</v>
      </c>
      <c r="C121" s="1">
        <v>4.516</v>
      </c>
      <c r="D121" s="1">
        <v>0.308</v>
      </c>
      <c r="E121" s="1">
        <v>0.939</v>
      </c>
      <c r="F121" s="1">
        <v>0.428</v>
      </c>
      <c r="G121" s="1">
        <v>0.382</v>
      </c>
      <c r="H121" s="1">
        <v>0.269</v>
      </c>
      <c r="I121" s="1">
        <v>0.167</v>
      </c>
    </row>
    <row r="122">
      <c r="A122" s="1">
        <v>121.0</v>
      </c>
      <c r="B122" s="1" t="s">
        <v>154</v>
      </c>
      <c r="C122" s="1">
        <v>4.509</v>
      </c>
      <c r="D122" s="1">
        <v>0.512</v>
      </c>
      <c r="E122" s="1">
        <v>0.983</v>
      </c>
      <c r="F122" s="1">
        <v>0.581</v>
      </c>
      <c r="G122" s="1">
        <v>0.431</v>
      </c>
      <c r="H122" s="1">
        <v>0.372</v>
      </c>
      <c r="I122" s="1">
        <v>0.053</v>
      </c>
    </row>
    <row r="123">
      <c r="A123" s="1">
        <v>122.0</v>
      </c>
      <c r="B123" s="1" t="s">
        <v>155</v>
      </c>
      <c r="C123" s="1">
        <v>4.49</v>
      </c>
      <c r="D123" s="1">
        <v>0.57</v>
      </c>
      <c r="E123" s="1">
        <v>1.167</v>
      </c>
      <c r="F123" s="1">
        <v>0.489</v>
      </c>
      <c r="G123" s="1">
        <v>0.066</v>
      </c>
      <c r="H123" s="1">
        <v>0.106</v>
      </c>
      <c r="I123" s="1">
        <v>0.088</v>
      </c>
    </row>
    <row r="124">
      <c r="A124" s="1">
        <v>123.0</v>
      </c>
      <c r="B124" s="1" t="s">
        <v>156</v>
      </c>
      <c r="C124" s="1">
        <v>4.466</v>
      </c>
      <c r="D124" s="1">
        <v>0.204</v>
      </c>
      <c r="E124" s="1">
        <v>0.986</v>
      </c>
      <c r="F124" s="1">
        <v>0.39</v>
      </c>
      <c r="G124" s="1">
        <v>0.494</v>
      </c>
      <c r="H124" s="1">
        <v>0.197</v>
      </c>
      <c r="I124" s="1">
        <v>0.138</v>
      </c>
    </row>
    <row r="125">
      <c r="A125" s="1">
        <v>124.0</v>
      </c>
      <c r="B125" s="1" t="s">
        <v>157</v>
      </c>
      <c r="C125" s="1">
        <v>4.461</v>
      </c>
      <c r="D125" s="1">
        <v>0.921</v>
      </c>
      <c r="E125" s="1">
        <v>1.0</v>
      </c>
      <c r="F125" s="1">
        <v>0.815</v>
      </c>
      <c r="G125" s="1">
        <v>0.167</v>
      </c>
      <c r="H125" s="1">
        <v>0.059</v>
      </c>
      <c r="I125" s="1">
        <v>0.055</v>
      </c>
    </row>
    <row r="126">
      <c r="A126" s="1">
        <v>125.0</v>
      </c>
      <c r="B126" s="1" t="s">
        <v>158</v>
      </c>
      <c r="C126" s="1">
        <v>4.456</v>
      </c>
      <c r="D126" s="1">
        <v>0.562</v>
      </c>
      <c r="E126" s="1">
        <v>0.928</v>
      </c>
      <c r="F126" s="1">
        <v>0.723</v>
      </c>
      <c r="G126" s="1">
        <v>0.527</v>
      </c>
      <c r="H126" s="1">
        <v>0.166</v>
      </c>
      <c r="I126" s="1">
        <v>0.143</v>
      </c>
    </row>
    <row r="127">
      <c r="A127" s="1">
        <v>126.0</v>
      </c>
      <c r="B127" s="1" t="s">
        <v>159</v>
      </c>
      <c r="C127" s="1">
        <v>4.437</v>
      </c>
      <c r="D127" s="1">
        <v>1.043</v>
      </c>
      <c r="E127" s="1">
        <v>0.98</v>
      </c>
      <c r="F127" s="1">
        <v>0.574</v>
      </c>
      <c r="G127" s="1">
        <v>0.241</v>
      </c>
      <c r="H127" s="1">
        <v>0.148</v>
      </c>
      <c r="I127" s="1">
        <v>0.089</v>
      </c>
    </row>
    <row r="128">
      <c r="A128" s="1">
        <v>127.0</v>
      </c>
      <c r="B128" s="1" t="s">
        <v>160</v>
      </c>
      <c r="C128" s="1">
        <v>4.418</v>
      </c>
      <c r="D128" s="1">
        <v>0.094</v>
      </c>
      <c r="E128" s="1">
        <v>1.125</v>
      </c>
      <c r="F128" s="1">
        <v>0.357</v>
      </c>
      <c r="G128" s="1">
        <v>0.269</v>
      </c>
      <c r="H128" s="1">
        <v>0.212</v>
      </c>
      <c r="I128" s="1">
        <v>0.053</v>
      </c>
    </row>
    <row r="129">
      <c r="A129" s="1">
        <v>128.0</v>
      </c>
      <c r="B129" s="1" t="s">
        <v>161</v>
      </c>
      <c r="C129" s="1">
        <v>4.39</v>
      </c>
      <c r="D129" s="1">
        <v>0.385</v>
      </c>
      <c r="E129" s="1">
        <v>1.105</v>
      </c>
      <c r="F129" s="1">
        <v>0.308</v>
      </c>
      <c r="G129" s="1">
        <v>0.327</v>
      </c>
      <c r="H129" s="1">
        <v>0.153</v>
      </c>
      <c r="I129" s="1">
        <v>0.052</v>
      </c>
    </row>
    <row r="130">
      <c r="A130" s="1">
        <v>129.0</v>
      </c>
      <c r="B130" s="1" t="s">
        <v>162</v>
      </c>
      <c r="C130" s="1">
        <v>4.374</v>
      </c>
      <c r="D130" s="1">
        <v>0.268</v>
      </c>
      <c r="E130" s="1">
        <v>0.841</v>
      </c>
      <c r="F130" s="1">
        <v>0.242</v>
      </c>
      <c r="G130" s="1">
        <v>0.309</v>
      </c>
      <c r="H130" s="1">
        <v>0.252</v>
      </c>
      <c r="I130" s="1">
        <v>0.045</v>
      </c>
    </row>
    <row r="131">
      <c r="A131" s="1">
        <v>130.0</v>
      </c>
      <c r="B131" s="1" t="s">
        <v>163</v>
      </c>
      <c r="C131" s="1">
        <v>4.366</v>
      </c>
      <c r="D131" s="1">
        <v>0.949</v>
      </c>
      <c r="E131" s="1">
        <v>1.265</v>
      </c>
      <c r="F131" s="1">
        <v>0.831</v>
      </c>
      <c r="G131" s="1">
        <v>0.47</v>
      </c>
      <c r="H131" s="1">
        <v>0.244</v>
      </c>
      <c r="I131" s="1">
        <v>0.047</v>
      </c>
    </row>
    <row r="132">
      <c r="A132" s="1">
        <v>131.0</v>
      </c>
      <c r="B132" s="1" t="s">
        <v>164</v>
      </c>
      <c r="C132" s="1">
        <v>4.36</v>
      </c>
      <c r="D132" s="1">
        <v>0.71</v>
      </c>
      <c r="E132" s="1">
        <v>1.181</v>
      </c>
      <c r="F132" s="1">
        <v>0.555</v>
      </c>
      <c r="G132" s="1">
        <v>0.525</v>
      </c>
      <c r="H132" s="1">
        <v>0.566</v>
      </c>
      <c r="I132" s="1">
        <v>0.172</v>
      </c>
    </row>
    <row r="133">
      <c r="A133" s="1">
        <v>132.0</v>
      </c>
      <c r="B133" s="1" t="s">
        <v>165</v>
      </c>
      <c r="C133" s="1">
        <v>4.35</v>
      </c>
      <c r="D133" s="1">
        <v>0.35</v>
      </c>
      <c r="E133" s="1">
        <v>0.766</v>
      </c>
      <c r="F133" s="1">
        <v>0.192</v>
      </c>
      <c r="G133" s="1">
        <v>0.174</v>
      </c>
      <c r="H133" s="1">
        <v>0.198</v>
      </c>
      <c r="I133" s="1">
        <v>0.078</v>
      </c>
    </row>
    <row r="134">
      <c r="A134" s="1">
        <v>133.0</v>
      </c>
      <c r="B134" s="1" t="s">
        <v>166</v>
      </c>
      <c r="C134" s="1">
        <v>4.332</v>
      </c>
      <c r="D134" s="1">
        <v>0.82</v>
      </c>
      <c r="E134" s="1">
        <v>1.39</v>
      </c>
      <c r="F134" s="1">
        <v>0.739</v>
      </c>
      <c r="G134" s="1">
        <v>0.178</v>
      </c>
      <c r="H134" s="1">
        <v>0.187</v>
      </c>
      <c r="I134" s="1">
        <v>0.01</v>
      </c>
    </row>
    <row r="135">
      <c r="A135" s="1">
        <v>134.0</v>
      </c>
      <c r="B135" s="1" t="s">
        <v>167</v>
      </c>
      <c r="C135" s="1">
        <v>4.286</v>
      </c>
      <c r="D135" s="1">
        <v>0.336</v>
      </c>
      <c r="E135" s="1">
        <v>1.033</v>
      </c>
      <c r="F135" s="1">
        <v>0.532</v>
      </c>
      <c r="G135" s="1">
        <v>0.344</v>
      </c>
      <c r="H135" s="1">
        <v>0.209</v>
      </c>
      <c r="I135" s="1">
        <v>0.1</v>
      </c>
    </row>
    <row r="136">
      <c r="A136" s="1">
        <v>135.0</v>
      </c>
      <c r="B136" s="1" t="s">
        <v>168</v>
      </c>
      <c r="C136" s="1">
        <v>4.212</v>
      </c>
      <c r="D136" s="1">
        <v>0.811</v>
      </c>
      <c r="E136" s="1">
        <v>1.149</v>
      </c>
      <c r="F136" s="1">
        <v>0.0</v>
      </c>
      <c r="G136" s="1">
        <v>0.313</v>
      </c>
      <c r="H136" s="1">
        <v>0.074</v>
      </c>
      <c r="I136" s="1">
        <v>0.135</v>
      </c>
    </row>
    <row r="137">
      <c r="A137" s="1">
        <v>136.0</v>
      </c>
      <c r="B137" s="1" t="s">
        <v>169</v>
      </c>
      <c r="C137" s="1">
        <v>4.189</v>
      </c>
      <c r="D137" s="1">
        <v>0.332</v>
      </c>
      <c r="E137" s="1">
        <v>1.069</v>
      </c>
      <c r="F137" s="1">
        <v>0.443</v>
      </c>
      <c r="G137" s="1">
        <v>0.356</v>
      </c>
      <c r="H137" s="1">
        <v>0.252</v>
      </c>
      <c r="I137" s="1">
        <v>0.06</v>
      </c>
    </row>
    <row r="138">
      <c r="A138" s="1">
        <v>137.0</v>
      </c>
      <c r="B138" s="1" t="s">
        <v>170</v>
      </c>
      <c r="C138" s="1">
        <v>4.166</v>
      </c>
      <c r="D138" s="1">
        <v>0.913</v>
      </c>
      <c r="E138" s="1">
        <v>1.039</v>
      </c>
      <c r="F138" s="1">
        <v>0.644</v>
      </c>
      <c r="G138" s="1">
        <v>0.241</v>
      </c>
      <c r="H138" s="1">
        <v>0.076</v>
      </c>
      <c r="I138" s="1">
        <v>0.067</v>
      </c>
    </row>
    <row r="139">
      <c r="A139" s="1">
        <v>138.0</v>
      </c>
      <c r="B139" s="1" t="s">
        <v>171</v>
      </c>
      <c r="C139" s="1">
        <v>4.107</v>
      </c>
      <c r="D139" s="1">
        <v>0.578</v>
      </c>
      <c r="E139" s="1">
        <v>1.058</v>
      </c>
      <c r="F139" s="1">
        <v>0.426</v>
      </c>
      <c r="G139" s="1">
        <v>0.431</v>
      </c>
      <c r="H139" s="1">
        <v>0.247</v>
      </c>
      <c r="I139" s="1">
        <v>0.087</v>
      </c>
    </row>
    <row r="140">
      <c r="A140" s="1">
        <v>139.0</v>
      </c>
      <c r="B140" s="1" t="s">
        <v>172</v>
      </c>
      <c r="C140" s="1">
        <v>4.085</v>
      </c>
      <c r="D140" s="1">
        <v>0.275</v>
      </c>
      <c r="E140" s="1">
        <v>0.572</v>
      </c>
      <c r="F140" s="1">
        <v>0.41</v>
      </c>
      <c r="G140" s="1">
        <v>0.293</v>
      </c>
      <c r="H140" s="1">
        <v>0.177</v>
      </c>
      <c r="I140" s="1">
        <v>0.085</v>
      </c>
    </row>
    <row r="141">
      <c r="A141" s="1">
        <v>140.0</v>
      </c>
      <c r="B141" s="1" t="s">
        <v>173</v>
      </c>
      <c r="C141" s="1">
        <v>4.015</v>
      </c>
      <c r="D141" s="1">
        <v>0.755</v>
      </c>
      <c r="E141" s="1">
        <v>0.765</v>
      </c>
      <c r="F141" s="1">
        <v>0.588</v>
      </c>
      <c r="G141" s="1">
        <v>0.498</v>
      </c>
      <c r="H141" s="1">
        <v>0.2</v>
      </c>
      <c r="I141" s="1">
        <v>0.085</v>
      </c>
    </row>
    <row r="142">
      <c r="A142" s="1">
        <v>141.0</v>
      </c>
      <c r="B142" s="1" t="s">
        <v>174</v>
      </c>
      <c r="C142" s="1">
        <v>3.975</v>
      </c>
      <c r="D142" s="1">
        <v>0.073</v>
      </c>
      <c r="E142" s="1">
        <v>0.922</v>
      </c>
      <c r="F142" s="1">
        <v>0.443</v>
      </c>
      <c r="G142" s="1">
        <v>0.37</v>
      </c>
      <c r="H142" s="1">
        <v>0.233</v>
      </c>
      <c r="I142" s="1">
        <v>0.033</v>
      </c>
    </row>
    <row r="143">
      <c r="A143" s="1">
        <v>142.0</v>
      </c>
      <c r="B143" s="1" t="s">
        <v>175</v>
      </c>
      <c r="C143" s="1">
        <v>3.973</v>
      </c>
      <c r="D143" s="1">
        <v>0.274</v>
      </c>
      <c r="E143" s="1">
        <v>0.757</v>
      </c>
      <c r="F143" s="1">
        <v>0.505</v>
      </c>
      <c r="G143" s="1">
        <v>0.142</v>
      </c>
      <c r="H143" s="1">
        <v>0.275</v>
      </c>
      <c r="I143" s="1">
        <v>0.078</v>
      </c>
    </row>
    <row r="144">
      <c r="A144" s="1">
        <v>143.0</v>
      </c>
      <c r="B144" s="1" t="s">
        <v>176</v>
      </c>
      <c r="C144" s="1">
        <v>3.933</v>
      </c>
      <c r="D144" s="1">
        <v>0.274</v>
      </c>
      <c r="E144" s="1">
        <v>0.916</v>
      </c>
      <c r="F144" s="1">
        <v>0.555</v>
      </c>
      <c r="G144" s="1">
        <v>0.148</v>
      </c>
      <c r="H144" s="1">
        <v>0.169</v>
      </c>
      <c r="I144" s="1">
        <v>0.041</v>
      </c>
    </row>
    <row r="145">
      <c r="A145" s="1">
        <v>144.0</v>
      </c>
      <c r="B145" s="1" t="s">
        <v>177</v>
      </c>
      <c r="C145" s="1">
        <v>3.802</v>
      </c>
      <c r="D145" s="1">
        <v>0.489</v>
      </c>
      <c r="E145" s="1">
        <v>1.169</v>
      </c>
      <c r="F145" s="1">
        <v>0.168</v>
      </c>
      <c r="G145" s="1">
        <v>0.359</v>
      </c>
      <c r="H145" s="1">
        <v>0.107</v>
      </c>
      <c r="I145" s="1">
        <v>0.093</v>
      </c>
    </row>
    <row r="146">
      <c r="A146" s="1">
        <v>145.0</v>
      </c>
      <c r="B146" s="1" t="s">
        <v>178</v>
      </c>
      <c r="C146" s="1">
        <v>3.775</v>
      </c>
      <c r="D146" s="1">
        <v>0.046</v>
      </c>
      <c r="E146" s="1">
        <v>0.447</v>
      </c>
      <c r="F146" s="1">
        <v>0.38</v>
      </c>
      <c r="G146" s="1">
        <v>0.22</v>
      </c>
      <c r="H146" s="1">
        <v>0.176</v>
      </c>
      <c r="I146" s="1">
        <v>0.18</v>
      </c>
    </row>
    <row r="147">
      <c r="A147" s="1">
        <v>146.0</v>
      </c>
      <c r="B147" s="1" t="s">
        <v>179</v>
      </c>
      <c r="C147" s="1">
        <v>3.663</v>
      </c>
      <c r="D147" s="1">
        <v>0.366</v>
      </c>
      <c r="E147" s="1">
        <v>1.114</v>
      </c>
      <c r="F147" s="1">
        <v>0.433</v>
      </c>
      <c r="G147" s="1">
        <v>0.361</v>
      </c>
      <c r="H147" s="1">
        <v>0.151</v>
      </c>
      <c r="I147" s="1">
        <v>0.089</v>
      </c>
    </row>
    <row r="148">
      <c r="A148" s="1">
        <v>147.0</v>
      </c>
      <c r="B148" s="1" t="s">
        <v>34</v>
      </c>
      <c r="C148" s="1">
        <v>3.597</v>
      </c>
      <c r="D148" s="1">
        <v>0.323</v>
      </c>
      <c r="E148" s="1">
        <v>0.688</v>
      </c>
      <c r="F148" s="1">
        <v>0.449</v>
      </c>
      <c r="G148" s="1">
        <v>0.026</v>
      </c>
      <c r="H148" s="1">
        <v>0.419</v>
      </c>
      <c r="I148" s="1">
        <v>0.11</v>
      </c>
    </row>
    <row r="149">
      <c r="A149" s="1">
        <v>148.0</v>
      </c>
      <c r="B149" s="1" t="s">
        <v>35</v>
      </c>
      <c r="C149" s="1">
        <v>3.488</v>
      </c>
      <c r="D149" s="1">
        <v>1.041</v>
      </c>
      <c r="E149" s="1">
        <v>1.145</v>
      </c>
      <c r="F149" s="1">
        <v>0.538</v>
      </c>
      <c r="G149" s="1">
        <v>0.455</v>
      </c>
      <c r="H149" s="1">
        <v>0.025</v>
      </c>
      <c r="I149" s="1">
        <v>0.1</v>
      </c>
    </row>
    <row r="150">
      <c r="A150" s="1">
        <v>149.0</v>
      </c>
      <c r="B150" s="1" t="s">
        <v>36</v>
      </c>
      <c r="C150" s="1">
        <v>3.462</v>
      </c>
      <c r="D150" s="1">
        <v>0.619</v>
      </c>
      <c r="E150" s="1">
        <v>0.378</v>
      </c>
      <c r="F150" s="1">
        <v>0.44</v>
      </c>
      <c r="G150" s="1">
        <v>0.013</v>
      </c>
      <c r="H150" s="1">
        <v>0.331</v>
      </c>
      <c r="I150" s="1">
        <v>0.141</v>
      </c>
    </row>
    <row r="151">
      <c r="A151" s="1">
        <v>150.0</v>
      </c>
      <c r="B151" s="1" t="s">
        <v>37</v>
      </c>
      <c r="C151" s="1">
        <v>3.41</v>
      </c>
      <c r="D151" s="1">
        <v>0.191</v>
      </c>
      <c r="E151" s="1">
        <v>0.56</v>
      </c>
      <c r="F151" s="1">
        <v>0.495</v>
      </c>
      <c r="G151" s="1">
        <v>0.443</v>
      </c>
      <c r="H151" s="1">
        <v>0.218</v>
      </c>
      <c r="I151" s="1">
        <v>0.089</v>
      </c>
    </row>
    <row r="152">
      <c r="A152" s="1">
        <v>151.0</v>
      </c>
      <c r="B152" s="1" t="s">
        <v>38</v>
      </c>
      <c r="C152" s="1">
        <v>3.38</v>
      </c>
      <c r="D152" s="1">
        <v>0.287</v>
      </c>
      <c r="E152" s="1">
        <v>1.163</v>
      </c>
      <c r="F152" s="1">
        <v>0.463</v>
      </c>
      <c r="G152" s="1">
        <v>0.143</v>
      </c>
      <c r="H152" s="1">
        <v>0.108</v>
      </c>
      <c r="I152" s="1">
        <v>0.077</v>
      </c>
    </row>
    <row r="153">
      <c r="A153" s="1">
        <v>152.0</v>
      </c>
      <c r="B153" s="1" t="s">
        <v>39</v>
      </c>
      <c r="C153" s="1">
        <v>3.334</v>
      </c>
      <c r="D153" s="1">
        <v>0.359</v>
      </c>
      <c r="E153" s="1">
        <v>0.711</v>
      </c>
      <c r="F153" s="1">
        <v>0.614</v>
      </c>
      <c r="G153" s="1">
        <v>0.555</v>
      </c>
      <c r="H153" s="1">
        <v>0.217</v>
      </c>
      <c r="I153" s="1">
        <v>0.411</v>
      </c>
    </row>
    <row r="154">
      <c r="A154" s="1">
        <v>153.0</v>
      </c>
      <c r="B154" s="1" t="s">
        <v>40</v>
      </c>
      <c r="C154" s="1">
        <v>3.231</v>
      </c>
      <c r="D154" s="1">
        <v>0.476</v>
      </c>
      <c r="E154" s="1">
        <v>0.885</v>
      </c>
      <c r="F154" s="1">
        <v>0.499</v>
      </c>
      <c r="G154" s="1">
        <v>0.417</v>
      </c>
      <c r="H154" s="1">
        <v>0.276</v>
      </c>
      <c r="I154" s="1">
        <v>0.147</v>
      </c>
    </row>
    <row r="155">
      <c r="A155" s="1">
        <v>154.0</v>
      </c>
      <c r="B155" s="1" t="s">
        <v>41</v>
      </c>
      <c r="C155" s="1">
        <v>3.203</v>
      </c>
      <c r="D155" s="1">
        <v>0.35</v>
      </c>
      <c r="E155" s="1">
        <v>0.517</v>
      </c>
      <c r="F155" s="1">
        <v>0.361</v>
      </c>
      <c r="G155" s="1">
        <v>0.0</v>
      </c>
      <c r="H155" s="1">
        <v>0.158</v>
      </c>
      <c r="I155" s="1">
        <v>0.025</v>
      </c>
    </row>
    <row r="156">
      <c r="A156" s="1">
        <v>155.0</v>
      </c>
      <c r="B156" s="1" t="s">
        <v>42</v>
      </c>
      <c r="C156" s="1">
        <v>3.083</v>
      </c>
      <c r="D156" s="1">
        <v>0.026</v>
      </c>
      <c r="E156" s="1">
        <v>0.0</v>
      </c>
      <c r="F156" s="1">
        <v>0.105</v>
      </c>
      <c r="G156" s="1">
        <v>0.225</v>
      </c>
      <c r="H156" s="1">
        <v>0.235</v>
      </c>
      <c r="I156" s="1">
        <v>0.035</v>
      </c>
    </row>
    <row r="157">
      <c r="A157" s="1">
        <v>156.0</v>
      </c>
      <c r="B157" s="1" t="s">
        <v>43</v>
      </c>
      <c r="C157" s="1">
        <v>2.853</v>
      </c>
      <c r="D157" s="1">
        <v>0.306</v>
      </c>
      <c r="E157" s="1">
        <v>0.575</v>
      </c>
      <c r="F157" s="1">
        <v>0.295</v>
      </c>
      <c r="G157" s="1">
        <v>0.01</v>
      </c>
      <c r="H157" s="1">
        <v>0.202</v>
      </c>
      <c r="I157" s="1">
        <v>0.091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7" max="10" width="25.25"/>
  </cols>
  <sheetData>
    <row r="1">
      <c r="A1" s="1" t="s">
        <v>0</v>
      </c>
      <c r="B1" s="2">
        <f>COUNTA(dados_brutos!B2:B157)</f>
        <v>156</v>
      </c>
      <c r="C1" s="1"/>
      <c r="D1" s="1" t="s">
        <v>1</v>
      </c>
      <c r="E1" s="2">
        <f>MIN(dados_brutos!C2:C157)</f>
        <v>2.853</v>
      </c>
      <c r="F1" s="2">
        <f>MIN(dados_brutos!D2:D157)</f>
        <v>0</v>
      </c>
      <c r="G1" s="2">
        <f>MIN(dados_brutos!E2:E157)</f>
        <v>0</v>
      </c>
      <c r="H1" s="2">
        <f>MIN(dados_brutos!F2:F157)</f>
        <v>0</v>
      </c>
      <c r="I1" s="2">
        <f>MIN(dados_brutos!G2:G157)</f>
        <v>0</v>
      </c>
      <c r="J1" s="1" t="s">
        <v>2</v>
      </c>
      <c r="K1" s="2">
        <f>CORREL(dados_brutos!C2:C157, dados_brutos!D2:D157)</f>
        <v>0.7938828679</v>
      </c>
    </row>
    <row r="2">
      <c r="A2" s="1" t="s">
        <v>3</v>
      </c>
      <c r="B2" s="2">
        <f>COUNTA(dados_brutos!A1:I1)</f>
        <v>9</v>
      </c>
      <c r="C2" s="1"/>
      <c r="D2" s="1" t="s">
        <v>4</v>
      </c>
      <c r="E2" s="2">
        <f>MAX(dados_brutos!C2:C157)</f>
        <v>7.769</v>
      </c>
      <c r="F2" s="2">
        <f>MAX(dados_brutos!D2:D157)</f>
        <v>1.684</v>
      </c>
      <c r="G2" s="2">
        <f>MAX(dados_brutos!E2:E157)</f>
        <v>1.624</v>
      </c>
      <c r="H2" s="2">
        <f>MAX(dados_brutos!F2:F157)</f>
        <v>1.141</v>
      </c>
      <c r="I2" s="2">
        <f>MAX(dados_brutos!G2:G157)</f>
        <v>0.631</v>
      </c>
      <c r="J2" s="1" t="s">
        <v>5</v>
      </c>
      <c r="K2" s="2">
        <f>CORREL(dados_brutos!C2:C157, dados_brutos!E2:E157)</f>
        <v>0.7770577881</v>
      </c>
    </row>
    <row r="3">
      <c r="A3" s="1" t="s">
        <v>6</v>
      </c>
      <c r="B3" s="2">
        <f>COUNTBLANK(dados_brutos!A2:I157)</f>
        <v>0</v>
      </c>
      <c r="C3" s="1"/>
      <c r="D3" s="1" t="s">
        <v>7</v>
      </c>
      <c r="E3" s="2">
        <f>COUNTIF(dados_brutos!C2:C157,0)</f>
        <v>0</v>
      </c>
      <c r="F3" s="2">
        <f>COUNTIF(dados_brutos!D2:D157,0)</f>
        <v>1</v>
      </c>
      <c r="G3" s="2">
        <f>COUNTIF(dados_brutos!E2:E157,0)</f>
        <v>1</v>
      </c>
      <c r="H3" s="2">
        <f>COUNTIF(dados_brutos!F2:F157,0)</f>
        <v>1</v>
      </c>
      <c r="I3" s="2">
        <f>COUNTIF(dados_brutos!G2:G157,0)</f>
        <v>1</v>
      </c>
      <c r="J3" s="1" t="s">
        <v>8</v>
      </c>
      <c r="K3" s="2">
        <f>CORREL(dados_brutos!C2:C157, dados_brutos!F2:F157)</f>
        <v>0.7798831492</v>
      </c>
    </row>
    <row r="4">
      <c r="A4" s="1" t="s">
        <v>9</v>
      </c>
      <c r="B4" s="2">
        <f t="array" ref="B4">COUNTA(UNIQUE(dados_brutos!B2:B157))</f>
        <v>156</v>
      </c>
      <c r="D4" s="1" t="s">
        <v>10</v>
      </c>
      <c r="E4" s="2">
        <f>AVERAGE(dados_brutos!C2:C157)</f>
        <v>5.407096154</v>
      </c>
      <c r="F4" s="2">
        <f>AVERAGE(dados_brutos!D2:D157)</f>
        <v>0.9051474359</v>
      </c>
      <c r="G4" s="2">
        <f>AVERAGE(dados_brutos!E2:E157)</f>
        <v>1.208814103</v>
      </c>
      <c r="H4" s="2">
        <f>AVERAGE(dados_brutos!F2:F157)</f>
        <v>0.7252435897</v>
      </c>
      <c r="I4" s="2">
        <f>AVERAGE(dados_brutos!G2:G157)</f>
        <v>0.3925705128</v>
      </c>
      <c r="J4" s="1" t="s">
        <v>11</v>
      </c>
      <c r="K4" s="2">
        <f>CORREL(dados_brutos!C2:C157, dados_brutos!G2:G157)</f>
        <v>0.5667418257</v>
      </c>
    </row>
    <row r="5">
      <c r="D5" s="1" t="s">
        <v>12</v>
      </c>
      <c r="E5" s="2">
        <f>MEDIAN(dados_brutos!C2:C157)</f>
        <v>5.3795</v>
      </c>
      <c r="F5" s="2">
        <f>MEDIAN(dados_brutos!D2:D157)</f>
        <v>0.96</v>
      </c>
      <c r="G5" s="2">
        <f>MEDIAN(dados_brutos!E2:E157)</f>
        <v>1.2715</v>
      </c>
      <c r="H5" s="2">
        <f>MEDIAN(dados_brutos!F2:F157)</f>
        <v>0.789</v>
      </c>
      <c r="I5" s="2">
        <f>MEDIAN(dados_brutos!G2:G157)</f>
        <v>0.417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9.63"/>
  </cols>
  <sheetData>
    <row r="1">
      <c r="A1" s="1" t="s">
        <v>13</v>
      </c>
      <c r="B1" s="1"/>
      <c r="C1" s="1"/>
      <c r="D1" s="1"/>
      <c r="E1" s="1"/>
      <c r="F1" s="1"/>
      <c r="G1" s="1"/>
      <c r="H1" s="1"/>
      <c r="I1" s="1"/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</row>
    <row r="3">
      <c r="A3" s="1">
        <v>1.0</v>
      </c>
      <c r="B3" s="1" t="s">
        <v>23</v>
      </c>
      <c r="C3" s="1">
        <v>7.769</v>
      </c>
      <c r="D3" s="1">
        <v>1.34</v>
      </c>
      <c r="E3" s="1">
        <v>1.587</v>
      </c>
      <c r="F3" s="1">
        <v>0.986</v>
      </c>
      <c r="G3" s="1">
        <v>0.596</v>
      </c>
      <c r="H3" s="1">
        <v>0.153</v>
      </c>
      <c r="I3" s="1">
        <v>0.393</v>
      </c>
    </row>
    <row r="4">
      <c r="A4" s="1">
        <v>2.0</v>
      </c>
      <c r="B4" s="1" t="s">
        <v>24</v>
      </c>
      <c r="C4" s="1">
        <v>7.6</v>
      </c>
      <c r="D4" s="1">
        <v>1.383</v>
      </c>
      <c r="E4" s="1">
        <v>1.573</v>
      </c>
      <c r="F4" s="1">
        <v>0.996</v>
      </c>
      <c r="G4" s="1">
        <v>0.592</v>
      </c>
      <c r="H4" s="1">
        <v>0.252</v>
      </c>
      <c r="I4" s="1">
        <v>0.41</v>
      </c>
    </row>
    <row r="5">
      <c r="A5" s="1">
        <v>3.0</v>
      </c>
      <c r="B5" s="1" t="s">
        <v>25</v>
      </c>
      <c r="C5" s="1">
        <v>7.554</v>
      </c>
      <c r="D5" s="1">
        <v>1.488</v>
      </c>
      <c r="E5" s="1">
        <v>1.582</v>
      </c>
      <c r="F5" s="1">
        <v>1.028</v>
      </c>
      <c r="G5" s="1">
        <v>0.603</v>
      </c>
      <c r="H5" s="1">
        <v>0.271</v>
      </c>
      <c r="I5" s="1">
        <v>0.341</v>
      </c>
    </row>
    <row r="6">
      <c r="A6" s="1">
        <v>4.0</v>
      </c>
      <c r="B6" s="1" t="s">
        <v>26</v>
      </c>
      <c r="C6" s="1">
        <v>7.494</v>
      </c>
      <c r="D6" s="1">
        <v>1.38</v>
      </c>
      <c r="E6" s="1">
        <v>1.624</v>
      </c>
      <c r="F6" s="1">
        <v>1.026</v>
      </c>
      <c r="G6" s="1">
        <v>0.591</v>
      </c>
      <c r="H6" s="1">
        <v>0.354</v>
      </c>
      <c r="I6" s="1">
        <v>0.118</v>
      </c>
    </row>
    <row r="7">
      <c r="A7" s="1">
        <v>5.0</v>
      </c>
      <c r="B7" s="1" t="s">
        <v>27</v>
      </c>
      <c r="C7" s="1">
        <v>7.488</v>
      </c>
      <c r="D7" s="1">
        <v>1.396</v>
      </c>
      <c r="E7" s="1">
        <v>1.522</v>
      </c>
      <c r="F7" s="1">
        <v>0.999</v>
      </c>
      <c r="G7" s="1">
        <v>0.557</v>
      </c>
      <c r="H7" s="1">
        <v>0.322</v>
      </c>
      <c r="I7" s="1">
        <v>0.298</v>
      </c>
    </row>
    <row r="8">
      <c r="A8" s="1">
        <v>6.0</v>
      </c>
      <c r="B8" s="1" t="s">
        <v>28</v>
      </c>
      <c r="C8" s="1">
        <v>7.48</v>
      </c>
      <c r="D8" s="1">
        <v>1.452</v>
      </c>
      <c r="E8" s="1">
        <v>1.526</v>
      </c>
      <c r="F8" s="1">
        <v>1.052</v>
      </c>
      <c r="G8" s="1">
        <v>0.572</v>
      </c>
      <c r="H8" s="1">
        <v>0.263</v>
      </c>
      <c r="I8" s="1">
        <v>0.343</v>
      </c>
    </row>
    <row r="9">
      <c r="A9" s="1">
        <v>7.0</v>
      </c>
      <c r="B9" s="1" t="s">
        <v>29</v>
      </c>
      <c r="C9" s="1">
        <v>7.343</v>
      </c>
      <c r="D9" s="1">
        <v>1.387</v>
      </c>
      <c r="E9" s="1">
        <v>1.487</v>
      </c>
      <c r="F9" s="1">
        <v>1.009</v>
      </c>
      <c r="G9" s="1">
        <v>0.574</v>
      </c>
      <c r="H9" s="1">
        <v>0.267</v>
      </c>
      <c r="I9" s="1">
        <v>0.373</v>
      </c>
    </row>
    <row r="10">
      <c r="A10" s="1">
        <v>8.0</v>
      </c>
      <c r="B10" s="1" t="s">
        <v>30</v>
      </c>
      <c r="C10" s="1">
        <v>7.307</v>
      </c>
      <c r="D10" s="1">
        <v>1.303</v>
      </c>
      <c r="E10" s="1">
        <v>1.557</v>
      </c>
      <c r="F10" s="1">
        <v>1.026</v>
      </c>
      <c r="G10" s="1">
        <v>0.585</v>
      </c>
      <c r="H10" s="1">
        <v>0.33</v>
      </c>
      <c r="I10" s="1">
        <v>0.38</v>
      </c>
    </row>
    <row r="11">
      <c r="A11" s="1">
        <v>9.0</v>
      </c>
      <c r="B11" s="1" t="s">
        <v>31</v>
      </c>
      <c r="C11" s="1">
        <v>7.278</v>
      </c>
      <c r="D11" s="1">
        <v>1.365</v>
      </c>
      <c r="E11" s="1">
        <v>1.505</v>
      </c>
      <c r="F11" s="1">
        <v>1.039</v>
      </c>
      <c r="G11" s="1">
        <v>0.584</v>
      </c>
      <c r="H11" s="1">
        <v>0.285</v>
      </c>
      <c r="I11" s="1">
        <v>0.308</v>
      </c>
    </row>
    <row r="12">
      <c r="A12" s="1">
        <v>10.0</v>
      </c>
      <c r="B12" s="1" t="s">
        <v>32</v>
      </c>
      <c r="C12" s="1">
        <v>7.246</v>
      </c>
      <c r="D12" s="1">
        <v>1.376</v>
      </c>
      <c r="E12" s="1">
        <v>1.475</v>
      </c>
      <c r="F12" s="1">
        <v>1.016</v>
      </c>
      <c r="G12" s="1">
        <v>0.532</v>
      </c>
      <c r="H12" s="1">
        <v>0.244</v>
      </c>
      <c r="I12" s="1">
        <v>0.226</v>
      </c>
    </row>
    <row r="13">
      <c r="A13" s="1" t="s">
        <v>33</v>
      </c>
      <c r="B13" s="1"/>
      <c r="C13" s="1"/>
      <c r="D13" s="1"/>
      <c r="E13" s="1"/>
      <c r="F13" s="1"/>
      <c r="G13" s="1"/>
      <c r="H13" s="1"/>
      <c r="I13" s="1"/>
    </row>
    <row r="14">
      <c r="A14" s="1">
        <v>147.0</v>
      </c>
      <c r="B14" s="1" t="s">
        <v>34</v>
      </c>
      <c r="C14" s="1">
        <v>3.597</v>
      </c>
      <c r="D14" s="1">
        <v>0.323</v>
      </c>
      <c r="E14" s="1">
        <v>0.688</v>
      </c>
      <c r="F14" s="1">
        <v>0.449</v>
      </c>
      <c r="G14" s="1">
        <v>0.026</v>
      </c>
      <c r="H14" s="1">
        <v>0.419</v>
      </c>
      <c r="I14" s="1">
        <v>0.11</v>
      </c>
    </row>
    <row r="15">
      <c r="A15" s="1">
        <v>148.0</v>
      </c>
      <c r="B15" s="1" t="s">
        <v>35</v>
      </c>
      <c r="C15" s="1">
        <v>3.488</v>
      </c>
      <c r="D15" s="1">
        <v>1.041</v>
      </c>
      <c r="E15" s="1">
        <v>1.145</v>
      </c>
      <c r="F15" s="1">
        <v>0.538</v>
      </c>
      <c r="G15" s="1">
        <v>0.455</v>
      </c>
      <c r="H15" s="1">
        <v>0.025</v>
      </c>
      <c r="I15" s="1">
        <v>0.1</v>
      </c>
    </row>
    <row r="16">
      <c r="A16" s="1">
        <v>149.0</v>
      </c>
      <c r="B16" s="1" t="s">
        <v>36</v>
      </c>
      <c r="C16" s="1">
        <v>3.462</v>
      </c>
      <c r="D16" s="1">
        <v>0.619</v>
      </c>
      <c r="E16" s="1">
        <v>0.378</v>
      </c>
      <c r="F16" s="1">
        <v>0.44</v>
      </c>
      <c r="G16" s="1">
        <v>0.013</v>
      </c>
      <c r="H16" s="1">
        <v>0.331</v>
      </c>
      <c r="I16" s="1">
        <v>0.141</v>
      </c>
    </row>
    <row r="17">
      <c r="A17" s="1">
        <v>150.0</v>
      </c>
      <c r="B17" s="1" t="s">
        <v>37</v>
      </c>
      <c r="C17" s="1">
        <v>3.41</v>
      </c>
      <c r="D17" s="1">
        <v>0.191</v>
      </c>
      <c r="E17" s="1">
        <v>0.56</v>
      </c>
      <c r="F17" s="1">
        <v>0.495</v>
      </c>
      <c r="G17" s="1">
        <v>0.443</v>
      </c>
      <c r="H17" s="1">
        <v>0.218</v>
      </c>
      <c r="I17" s="1">
        <v>0.089</v>
      </c>
    </row>
    <row r="18">
      <c r="A18" s="1">
        <v>151.0</v>
      </c>
      <c r="B18" s="1" t="s">
        <v>38</v>
      </c>
      <c r="C18" s="1">
        <v>3.38</v>
      </c>
      <c r="D18" s="1">
        <v>0.287</v>
      </c>
      <c r="E18" s="1">
        <v>1.163</v>
      </c>
      <c r="F18" s="1">
        <v>0.463</v>
      </c>
      <c r="G18" s="1">
        <v>0.143</v>
      </c>
      <c r="H18" s="1">
        <v>0.108</v>
      </c>
      <c r="I18" s="1">
        <v>0.077</v>
      </c>
    </row>
    <row r="19">
      <c r="A19" s="1">
        <v>152.0</v>
      </c>
      <c r="B19" s="1" t="s">
        <v>39</v>
      </c>
      <c r="C19" s="1">
        <v>3.334</v>
      </c>
      <c r="D19" s="1">
        <v>0.359</v>
      </c>
      <c r="E19" s="1">
        <v>0.711</v>
      </c>
      <c r="F19" s="1">
        <v>0.614</v>
      </c>
      <c r="G19" s="1">
        <v>0.555</v>
      </c>
      <c r="H19" s="1">
        <v>0.217</v>
      </c>
      <c r="I19" s="1">
        <v>0.411</v>
      </c>
    </row>
    <row r="20">
      <c r="A20" s="1">
        <v>153.0</v>
      </c>
      <c r="B20" s="1" t="s">
        <v>40</v>
      </c>
      <c r="C20" s="1">
        <v>3.231</v>
      </c>
      <c r="D20" s="1">
        <v>0.476</v>
      </c>
      <c r="E20" s="1">
        <v>0.885</v>
      </c>
      <c r="F20" s="1">
        <v>0.499</v>
      </c>
      <c r="G20" s="1">
        <v>0.417</v>
      </c>
      <c r="H20" s="1">
        <v>0.276</v>
      </c>
      <c r="I20" s="1">
        <v>0.147</v>
      </c>
    </row>
    <row r="21">
      <c r="A21" s="1">
        <v>154.0</v>
      </c>
      <c r="B21" s="1" t="s">
        <v>41</v>
      </c>
      <c r="C21" s="1">
        <v>3.203</v>
      </c>
      <c r="D21" s="1">
        <v>0.35</v>
      </c>
      <c r="E21" s="1">
        <v>0.517</v>
      </c>
      <c r="F21" s="1">
        <v>0.361</v>
      </c>
      <c r="G21" s="1">
        <v>0.0</v>
      </c>
      <c r="H21" s="1">
        <v>0.158</v>
      </c>
      <c r="I21" s="1">
        <v>0.025</v>
      </c>
    </row>
    <row r="22">
      <c r="A22" s="1">
        <v>155.0</v>
      </c>
      <c r="B22" s="1" t="s">
        <v>42</v>
      </c>
      <c r="C22" s="1">
        <v>3.083</v>
      </c>
      <c r="D22" s="1">
        <v>0.026</v>
      </c>
      <c r="E22" s="1">
        <v>0.0</v>
      </c>
      <c r="F22" s="1">
        <v>0.105</v>
      </c>
      <c r="G22" s="1">
        <v>0.225</v>
      </c>
      <c r="H22" s="1">
        <v>0.235</v>
      </c>
      <c r="I22" s="1">
        <v>0.035</v>
      </c>
    </row>
    <row r="23">
      <c r="A23" s="1">
        <v>156.0</v>
      </c>
      <c r="B23" s="1" t="s">
        <v>43</v>
      </c>
      <c r="C23" s="1">
        <v>2.853</v>
      </c>
      <c r="D23" s="1">
        <v>0.306</v>
      </c>
      <c r="E23" s="1">
        <v>0.575</v>
      </c>
      <c r="F23" s="1">
        <v>0.295</v>
      </c>
      <c r="G23" s="1">
        <v>0.01</v>
      </c>
      <c r="H23" s="1">
        <v>0.202</v>
      </c>
      <c r="I23" s="1">
        <v>0.091</v>
      </c>
    </row>
  </sheetData>
  <drawing r:id="rId1"/>
</worksheet>
</file>